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与摘要" sheetId="1" state="visible" r:id="rId1"/>
    <sheet xmlns:r="http://schemas.openxmlformats.org/officeDocument/2006/relationships" name="客户分群与定价" sheetId="2" state="visible" r:id="rId2"/>
    <sheet xmlns:r="http://schemas.openxmlformats.org/officeDocument/2006/relationships" name="5年营收预测_基准" sheetId="3" state="visible" r:id="rId3"/>
    <sheet xmlns:r="http://schemas.openxmlformats.org/officeDocument/2006/relationships" name="成本与利润_基准" sheetId="4" state="visible" r:id="rId4"/>
    <sheet xmlns:r="http://schemas.openxmlformats.org/officeDocument/2006/relationships" name="单位经济与续约" sheetId="5" state="visible" r:id="rId5"/>
    <sheet xmlns:r="http://schemas.openxmlformats.org/officeDocument/2006/relationships" name="融资与估值" sheetId="6" state="visible" r:id="rId6"/>
    <sheet xmlns:r="http://schemas.openxmlformats.org/officeDocument/2006/relationships" name="团队与人员规划" sheetId="7" state="visible" r:id="rId7"/>
    <sheet xmlns:r="http://schemas.openxmlformats.org/officeDocument/2006/relationships" name="5场景敏感性" sheetId="8" state="visible" r:id="rId8"/>
    <sheet xmlns:r="http://schemas.openxmlformats.org/officeDocument/2006/relationships" name="里程碑节点" sheetId="9" state="visible" r:id="rId9"/>
    <sheet xmlns:r="http://schemas.openxmlformats.org/officeDocument/2006/relationships" name="现金流与资负表" sheetId="10" state="visible" r:id="rId10"/>
    <sheet xmlns:r="http://schemas.openxmlformats.org/officeDocument/2006/relationships" name="风险与压力测试" sheetId="11" state="visible" r:id="rId11"/>
    <sheet xmlns:r="http://schemas.openxmlformats.org/officeDocument/2006/relationships" name="业内基准对标" sheetId="12" state="visible" r:id="rId12"/>
    <sheet xmlns:r="http://schemas.openxmlformats.org/officeDocument/2006/relationships" name="一页纸摘要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imHei"/>
      <b val="1"/>
      <color rgb="001F4E78"/>
      <sz val="18"/>
    </font>
    <font>
      <name val="SimHei"/>
      <b val="1"/>
      <sz val="10"/>
    </font>
    <font>
      <name val="SimHei"/>
      <sz val="10"/>
    </font>
    <font>
      <name val="SimHei"/>
      <b val="1"/>
      <color rgb="00FFFFFF"/>
      <sz val="14"/>
    </font>
    <font>
      <name val="SimHei"/>
      <b val="1"/>
      <color rgb="00FFFFFF"/>
      <sz val="10"/>
    </font>
    <font>
      <name val="&lt;openpyxl.styles.fills.PatternFill object&gt;&#10;Parameters:&#10;patternType='solid', fgColor=&lt;openpyxl.styles.colors.Color object&gt;&#10;Parameters:&#10;rgb='00FFE699', indexed=None, auto=None, theme=None, tint=0.0, type='rgb', bgColor=&lt;openpyxl.styles.colors.Color object&gt;&#10;Parameters:&#10;rgb='00000000', indexed=None, auto=None, theme=None, tint=0.0, type='rgb'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86AB"/>
      </patternFill>
    </fill>
    <fill>
      <patternFill patternType="solid">
        <fgColor rgb="00FFE699"/>
      </patternFill>
    </fill>
    <fill>
      <patternFill patternType="solid">
        <fgColor rgb="00D6E9F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0" pivotButton="0" quotePrefix="0" xfId="0"/>
    <xf numFmtId="0" fontId="0" fillId="5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5" fillId="3" borderId="0" pivotButton="0" quotePrefix="0" xfId="0"/>
    <xf numFmtId="0" fontId="5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QuantInsight Pro 财务模型 V3.0 - 资管科技子公司基准</t>
        </is>
      </c>
    </row>
    <row r="3">
      <c r="A3" s="2" t="inlineStr">
        <is>
          <t>编制单位</t>
        </is>
      </c>
      <c r="B3" s="3" t="inlineStr">
        <is>
          <t>慧点资本 (InsightQuant) 量化研究部</t>
        </is>
      </c>
    </row>
    <row r="4">
      <c r="A4" s="2" t="inlineStr">
        <is>
          <t>项目主体</t>
        </is>
      </c>
      <c r="B4" s="3" t="inlineStr">
        <is>
          <t>杭州永字资产管理有限公司 资管科技子公司 (拟设立)</t>
        </is>
      </c>
    </row>
    <row r="5">
      <c r="A5" s="2" t="inlineStr">
        <is>
          <t>推荐单位</t>
        </is>
      </c>
      <c r="B5" s="3" t="inlineStr">
        <is>
          <t>杭州永字资产管理有限公司</t>
        </is>
      </c>
    </row>
    <row r="6">
      <c r="A6" s="2" t="inlineStr">
        <is>
          <t>项目编号</t>
        </is>
      </c>
      <c r="B6" s="3" t="inlineStr">
        <is>
          <t>2026FINTECH-FINT-0093</t>
        </is>
      </c>
    </row>
    <row r="7">
      <c r="A7" s="2" t="inlineStr">
        <is>
          <t>预测期间</t>
        </is>
      </c>
      <c r="B7" s="3" t="inlineStr">
        <is>
          <t>2026-2030 年 (5 年)</t>
        </is>
      </c>
    </row>
    <row r="8">
      <c r="A8" s="2" t="inlineStr">
        <is>
          <t>数据基准</t>
        </is>
      </c>
      <c r="B8" s="3" t="inlineStr">
        <is>
          <t>业内资管科技 SaaS 同业 (Wind/同花顺 iFinD/恒生聚源/通联数据)</t>
        </is>
      </c>
    </row>
    <row r="9">
      <c r="A9" s="2" t="inlineStr">
        <is>
          <t>货币单位</t>
        </is>
      </c>
      <c r="B9" s="3" t="inlineStr">
        <is>
          <t>人民币 (万元)</t>
        </is>
      </c>
    </row>
    <row r="10">
      <c r="A10" s="2" t="inlineStr">
        <is>
          <t>模型版本</t>
        </is>
      </c>
      <c r="B10" s="3" t="inlineStr">
        <is>
          <t>V3.0 (2026-06-06 重写)</t>
        </is>
      </c>
    </row>
    <row r="11">
      <c r="A11" s="4" t="inlineStr"/>
      <c r="B11" s="3" t="inlineStr"/>
    </row>
    <row r="12">
      <c r="A12" s="2">
        <f>= V3 相对 V2 改进 ==</f>
        <v/>
      </c>
      <c r="B12" s="3" t="inlineStr"/>
    </row>
    <row r="13">
      <c r="A13" s="2" t="inlineStr">
        <is>
          <t>1. 客户分群从 4 类扩到 9 类</t>
        </is>
      </c>
      <c r="B13" s="3" t="inlineStr">
        <is>
          <t>更精细定价 (10万-500万/年/家)</t>
        </is>
      </c>
    </row>
    <row r="14">
      <c r="A14" s="2" t="inlineStr">
        <is>
          <t>2. 新增融资轮次路径 (天使/Pre-A/A/B/Pre-IPO)</t>
        </is>
      </c>
      <c r="B14" s="3" t="inlineStr">
        <is>
          <t>5 年累计 4.8 亿 (V2 仅 0.18 亿)</t>
        </is>
      </c>
    </row>
    <row r="15">
      <c r="A15" s="2" t="inlineStr">
        <is>
          <t>3. 新增单位经济分析 (CAC/LTV/回收期)</t>
        </is>
      </c>
      <c r="B15" s="3" t="inlineStr">
        <is>
          <t>CAC 8-15 万, LTV 80-150 万, 回收期 6-12 月</t>
        </is>
      </c>
    </row>
    <row r="16">
      <c r="A16" s="2" t="inlineStr">
        <is>
          <t>4. 新增客户成功指标 (续约率/NRR/流失率)</t>
        </is>
      </c>
      <c r="B16" s="3" t="inlineStr">
        <is>
          <t>续约率 92%, NRR 110-120%, 流失率 8%</t>
        </is>
      </c>
    </row>
    <row r="17">
      <c r="A17" s="2" t="inlineStr">
        <is>
          <t>5. 新增 5 场景敏感性 (牛/基/熊/极端牛/极端熊)</t>
        </is>
      </c>
      <c r="B17" s="3" t="inlineStr">
        <is>
          <t>基线 IRR 28%, 熊市 5%, 牛市 45%</t>
        </is>
      </c>
    </row>
    <row r="18">
      <c r="A18" s="2" t="inlineStr">
        <is>
          <t>6. 新增估值路径 (DCF/可比/风险溢价)</t>
        </is>
      </c>
      <c r="B18" s="3" t="inlineStr">
        <is>
          <t>第 5 年末估值 30-50 亿 (10-12x P/S)</t>
        </is>
      </c>
    </row>
    <row r="19">
      <c r="A19" s="2" t="inlineStr">
        <is>
          <t>7. 新增里程碑节点 (12/24/36/48/60 月)</t>
        </is>
      </c>
      <c r="B19" s="3" t="inlineStr">
        <is>
          <t>对应营收/客户/团队/估值</t>
        </is>
      </c>
    </row>
    <row r="20">
      <c r="A20" s="2" t="inlineStr">
        <is>
          <t>8. 团队从 80 人扩到 100 人, 销售比从 18% 升到 25%</t>
        </is>
      </c>
      <c r="B20" s="3" t="inlineStr">
        <is>
          <t>匹配 B 轮后销售扩张需求</t>
        </is>
      </c>
    </row>
  </sheetData>
  <mergeCells count="19">
    <mergeCell ref="B14:G14"/>
    <mergeCell ref="B17:G17"/>
    <mergeCell ref="B8:G8"/>
    <mergeCell ref="B13:G13"/>
    <mergeCell ref="B19:G19"/>
    <mergeCell ref="B10:G10"/>
    <mergeCell ref="B9:G9"/>
    <mergeCell ref="B15:G15"/>
    <mergeCell ref="B6:G6"/>
    <mergeCell ref="B20:G20"/>
    <mergeCell ref="A1:G1"/>
    <mergeCell ref="B5:G5"/>
    <mergeCell ref="B4:G4"/>
    <mergeCell ref="B7:G7"/>
    <mergeCell ref="B3:G3"/>
    <mergeCell ref="B16:G16"/>
    <mergeCell ref="B12:G12"/>
    <mergeCell ref="B18:G18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9 类客户分群与定价矩阵 (2026 年价)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7" t="inlineStr">
        <is>
          <t>客户类型</t>
        </is>
      </c>
      <c r="B2" s="7" t="inlineStr">
        <is>
          <t>代表客户</t>
        </is>
      </c>
      <c r="C2" s="7" t="inlineStr">
        <is>
          <t>年费 (万/家)</t>
        </is>
      </c>
      <c r="D2" s="7" t="inlineStr">
        <is>
          <t>决策周期</t>
        </is>
      </c>
      <c r="E2" s="7" t="inlineStr">
        <is>
          <t>决策人</t>
        </is>
      </c>
      <c r="F2" s="7" t="inlineStr">
        <is>
          <t>LTV (年)</t>
        </is>
      </c>
      <c r="G2" s="7" t="inlineStr">
        <is>
          <t>CAC (万)</t>
        </is>
      </c>
      <c r="H2" s="7" t="inlineStr">
        <is>
          <t>目标客户数</t>
        </is>
      </c>
      <c r="I2" s="7" t="inlineStr">
        <is>
          <t>市场容量</t>
        </is>
      </c>
      <c r="J2" s="7" t="inlineStr">
        <is>
          <t>覆盖策略</t>
        </is>
      </c>
    </row>
    <row r="3">
      <c r="A3" s="8" t="inlineStr">
        <is>
          <t>中小私募</t>
        </is>
      </c>
      <c r="B3" s="8" t="inlineStr">
        <is>
          <t>敦和/明汯/乐瑞/幻方</t>
        </is>
      </c>
      <c r="C3" s="9" t="inlineStr">
        <is>
          <t>50</t>
        </is>
      </c>
      <c r="D3" s="8" t="inlineStr">
        <is>
          <t>3-6 月</t>
        </is>
      </c>
      <c r="E3" s="8" t="inlineStr">
        <is>
          <t>投资总监/合伙人</t>
        </is>
      </c>
      <c r="F3" s="9" t="inlineStr">
        <is>
          <t>4.5</t>
        </is>
      </c>
      <c r="G3" s="9" t="inlineStr">
        <is>
          <t>6</t>
        </is>
      </c>
      <c r="H3" s="9" t="inlineStr">
        <is>
          <t>500</t>
        </is>
      </c>
      <c r="I3" s="8" t="inlineStr">
        <is>
          <t>3000</t>
        </is>
      </c>
      <c r="J3" s="8" t="inlineStr">
        <is>
          <t>直销 + 推荐单位</t>
        </is>
      </c>
    </row>
    <row r="4">
      <c r="A4" s="8" t="inlineStr">
        <is>
          <t>银行资管</t>
        </is>
      </c>
      <c r="B4" s="8" t="inlineStr">
        <is>
          <t>招行/兴业/浦发理财子</t>
        </is>
      </c>
      <c r="C4" s="9" t="inlineStr">
        <is>
          <t>200</t>
        </is>
      </c>
      <c r="D4" s="8" t="inlineStr">
        <is>
          <t>12-18 月</t>
        </is>
      </c>
      <c r="E4" s="8" t="inlineStr">
        <is>
          <t>资管部总经理</t>
        </is>
      </c>
      <c r="F4" s="9" t="inlineStr">
        <is>
          <t>6</t>
        </is>
      </c>
      <c r="G4" s="9" t="inlineStr">
        <is>
          <t>25</t>
        </is>
      </c>
      <c r="H4" s="9" t="inlineStr">
        <is>
          <t>20</t>
        </is>
      </c>
      <c r="I4" s="8" t="inlineStr">
        <is>
          <t>30</t>
        </is>
      </c>
      <c r="J4" s="8" t="inlineStr">
        <is>
          <t>高层 BD + 试点</t>
        </is>
      </c>
    </row>
    <row r="5">
      <c r="A5" s="8" t="inlineStr">
        <is>
          <t>券商资管</t>
        </is>
      </c>
      <c r="B5" s="8" t="inlineStr">
        <is>
          <t>国君/海通/中信证券资管</t>
        </is>
      </c>
      <c r="C5" s="9" t="inlineStr">
        <is>
          <t>150</t>
        </is>
      </c>
      <c r="D5" s="8" t="inlineStr">
        <is>
          <t>9-12 月</t>
        </is>
      </c>
      <c r="E5" s="8" t="inlineStr">
        <is>
          <t>CIO/首席</t>
        </is>
      </c>
      <c r="F5" s="9" t="inlineStr">
        <is>
          <t>5</t>
        </is>
      </c>
      <c r="G5" s="9" t="inlineStr">
        <is>
          <t>20</t>
        </is>
      </c>
      <c r="H5" s="9" t="inlineStr">
        <is>
          <t>40</t>
        </is>
      </c>
      <c r="I5" s="8" t="inlineStr">
        <is>
          <t>60</t>
        </is>
      </c>
      <c r="J5" s="8" t="inlineStr">
        <is>
          <t>战略联盟 + 共建</t>
        </is>
      </c>
    </row>
    <row r="6">
      <c r="A6" s="8" t="inlineStr">
        <is>
          <t>信托公司</t>
        </is>
      </c>
      <c r="B6" s="8" t="inlineStr">
        <is>
          <t>中信信托/平安信托</t>
        </is>
      </c>
      <c r="C6" s="9" t="inlineStr">
        <is>
          <t>100</t>
        </is>
      </c>
      <c r="D6" s="8" t="inlineStr">
        <is>
          <t>6-12 月</t>
        </is>
      </c>
      <c r="E6" s="8" t="inlineStr">
        <is>
          <t>证券投资部总</t>
        </is>
      </c>
      <c r="F6" s="9" t="inlineStr">
        <is>
          <t>4</t>
        </is>
      </c>
      <c r="G6" s="9" t="inlineStr">
        <is>
          <t>15</t>
        </is>
      </c>
      <c r="H6" s="9" t="inlineStr">
        <is>
          <t>30</t>
        </is>
      </c>
      <c r="I6" s="8" t="inlineStr">
        <is>
          <t>50</t>
        </is>
      </c>
      <c r="J6" s="8" t="inlineStr">
        <is>
          <t>行业会议 + 案例</t>
        </is>
      </c>
    </row>
    <row r="7">
      <c r="A7" s="8" t="inlineStr">
        <is>
          <t>公募基金</t>
        </is>
      </c>
      <c r="B7" s="8" t="inlineStr">
        <is>
          <t>易方达/广发/华夏基金</t>
        </is>
      </c>
      <c r="C7" s="9" t="inlineStr">
        <is>
          <t>500</t>
        </is>
      </c>
      <c r="D7" s="8" t="inlineStr">
        <is>
          <t>18-24 月</t>
        </is>
      </c>
      <c r="E7" s="8" t="inlineStr">
        <is>
          <t>总经理 + IT</t>
        </is>
      </c>
      <c r="F7" s="9" t="inlineStr">
        <is>
          <t>8</t>
        </is>
      </c>
      <c r="G7" s="9" t="inlineStr">
        <is>
          <t>60</t>
        </is>
      </c>
      <c r="H7" s="9" t="inlineStr">
        <is>
          <t>15</t>
        </is>
      </c>
      <c r="I7" s="8" t="inlineStr">
        <is>
          <t>30</t>
        </is>
      </c>
      <c r="J7" s="8" t="inlineStr">
        <is>
          <t>招投标 + 高层</t>
        </is>
      </c>
    </row>
    <row r="8">
      <c r="A8" s="8" t="inlineStr">
        <is>
          <t>保险资管</t>
        </is>
      </c>
      <c r="B8" s="8" t="inlineStr">
        <is>
          <t>国寿/平安/泰康资管</t>
        </is>
      </c>
      <c r="C8" s="9" t="inlineStr">
        <is>
          <t>300</t>
        </is>
      </c>
      <c r="D8" s="8" t="inlineStr">
        <is>
          <t>12-18 月</t>
        </is>
      </c>
      <c r="E8" s="8" t="inlineStr">
        <is>
          <t>首席投资官</t>
        </is>
      </c>
      <c r="F8" s="9" t="inlineStr">
        <is>
          <t>6</t>
        </is>
      </c>
      <c r="G8" s="9" t="inlineStr">
        <is>
          <t>35</t>
        </is>
      </c>
      <c r="H8" s="9" t="inlineStr">
        <is>
          <t>20</t>
        </is>
      </c>
      <c r="I8" s="8" t="inlineStr">
        <is>
          <t>30</t>
        </is>
      </c>
      <c r="J8" s="8" t="inlineStr">
        <is>
          <t>监管沙盒 + 试点</t>
        </is>
      </c>
    </row>
    <row r="9">
      <c r="A9" s="8" t="inlineStr">
        <is>
          <t>高校研究所</t>
        </is>
      </c>
      <c r="B9" s="8" t="inlineStr">
        <is>
          <t>清华/北大/上财</t>
        </is>
      </c>
      <c r="C9" s="9" t="inlineStr">
        <is>
          <t>20</t>
        </is>
      </c>
      <c r="D9" s="8" t="inlineStr">
        <is>
          <t>3-6 月</t>
        </is>
      </c>
      <c r="E9" s="8" t="inlineStr">
        <is>
          <t>金融学院院长</t>
        </is>
      </c>
      <c r="F9" s="9" t="inlineStr">
        <is>
          <t>3</t>
        </is>
      </c>
      <c r="G9" s="9" t="inlineStr">
        <is>
          <t>3</t>
        </is>
      </c>
      <c r="H9" s="9" t="inlineStr">
        <is>
          <t>50</t>
        </is>
      </c>
      <c r="I9" s="8" t="inlineStr">
        <is>
          <t>200</t>
        </is>
      </c>
      <c r="J9" s="8" t="inlineStr">
        <is>
          <t>学术合作 + 免费培训</t>
        </is>
      </c>
    </row>
    <row r="10">
      <c r="A10" s="8" t="inlineStr">
        <is>
          <t>上市公司IR</t>
        </is>
      </c>
      <c r="B10" s="8" t="inlineStr">
        <is>
          <t>宁德/比亚迪/招行</t>
        </is>
      </c>
      <c r="C10" s="9" t="inlineStr">
        <is>
          <t>30</t>
        </is>
      </c>
      <c r="D10" s="8" t="inlineStr">
        <is>
          <t>6-9 月</t>
        </is>
      </c>
      <c r="E10" s="8" t="inlineStr">
        <is>
          <t>董秘/IR 总监</t>
        </is>
      </c>
      <c r="F10" s="9" t="inlineStr">
        <is>
          <t>3</t>
        </is>
      </c>
      <c r="G10" s="9" t="inlineStr">
        <is>
          <t>5</t>
        </is>
      </c>
      <c r="H10" s="9" t="inlineStr">
        <is>
          <t>100</t>
        </is>
      </c>
      <c r="I10" s="8" t="inlineStr">
        <is>
          <t>500</t>
        </is>
      </c>
      <c r="J10" s="8" t="inlineStr">
        <is>
          <t>路演 + 案例</t>
        </is>
      </c>
    </row>
    <row r="11">
      <c r="A11" s="8" t="inlineStr">
        <is>
          <t>战略合作</t>
        </is>
      </c>
      <c r="B11" s="8" t="inlineStr">
        <is>
          <t>推荐单位/同集团</t>
        </is>
      </c>
      <c r="C11" s="9" t="inlineStr">
        <is>
          <t>100</t>
        </is>
      </c>
      <c r="D11" s="8" t="inlineStr">
        <is>
          <t>1-3 月</t>
        </is>
      </c>
      <c r="E11" s="8" t="inlineStr">
        <is>
          <t>集团领导</t>
        </is>
      </c>
      <c r="F11" s="9" t="inlineStr">
        <is>
          <t>5</t>
        </is>
      </c>
      <c r="G11" s="9" t="inlineStr">
        <is>
          <t>8</t>
        </is>
      </c>
      <c r="H11" s="9" t="inlineStr">
        <is>
          <t>20</t>
        </is>
      </c>
      <c r="I11" s="8" t="inlineStr">
        <is>
          <t>20</t>
        </is>
      </c>
      <c r="J11" s="8" t="inlineStr">
        <is>
          <t>内部协同</t>
        </is>
      </c>
    </row>
    <row r="12">
      <c r="A12" s="10" t="inlineStr">
        <is>
          <t>合计 / 加权</t>
        </is>
      </c>
      <c r="B12" s="11" t="n"/>
      <c r="C12" s="10" t="inlineStr">
        <is>
          <t>加权 ARPU = 79 万</t>
        </is>
      </c>
      <c r="D12" s="11" t="n"/>
      <c r="E12" s="11" t="n"/>
      <c r="F12" s="10" t="inlineStr">
        <is>
          <t>加权 LTV = 5.1 年</t>
        </is>
      </c>
      <c r="G12" s="10" t="inlineStr">
        <is>
          <t>加权 CAC = 11 万</t>
        </is>
      </c>
      <c r="H12" s="10" t="inlineStr">
        <is>
          <t>目标客户 795 家</t>
        </is>
      </c>
      <c r="I12" s="11" t="n"/>
      <c r="J12" s="11" t="n"/>
    </row>
    <row r="14">
      <c r="A14" s="2">
        <f>= 定价逻辑 ==</f>
        <v/>
      </c>
    </row>
    <row r="15">
      <c r="A15" t="inlineStr">
        <is>
          <t>基础价 = 数据 + SaaS + AI 投研模块</t>
        </is>
      </c>
    </row>
    <row r="16">
      <c r="A16" t="inlineStr">
        <is>
          <t>+ 模块加价: NLP/因子/回测/风控/智能体 (每个 10-30 万)</t>
        </is>
      </c>
    </row>
    <row r="17">
      <c r="A17" t="inlineStr">
        <is>
          <t>+ 客户规模调整: AUM 100 亿以下 -30%, 1000 亿以上 +50%</t>
        </is>
      </c>
    </row>
    <row r="18">
      <c r="A18" t="inlineStr">
        <is>
          <t>+ 续约折扣: 续约客户 + 客户成功投入 -5% 至 +20% (按使用深度)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5 年营收预测 (基准场景, 资管科技子公司基准)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项目</t>
        </is>
      </c>
      <c r="B2" s="7" t="inlineStr">
        <is>
          <t>2026</t>
        </is>
      </c>
      <c r="C2" s="7" t="inlineStr">
        <is>
          <t>2027</t>
        </is>
      </c>
      <c r="D2" s="7" t="inlineStr">
        <is>
          <t>2028</t>
        </is>
      </c>
      <c r="E2" s="7" t="inlineStr">
        <is>
          <t>2029</t>
        </is>
      </c>
      <c r="F2" s="7" t="inlineStr">
        <is>
          <t>2030</t>
        </is>
      </c>
      <c r="G2" s="7" t="inlineStr">
        <is>
          <t>5 年合计</t>
        </is>
      </c>
      <c r="H2" s="7" t="inlineStr">
        <is>
          <t>CAGR</t>
        </is>
      </c>
    </row>
    <row r="3">
      <c r="A3" s="12" t="inlineStr">
        <is>
          <t>客户数 (家, 年末累计)</t>
        </is>
      </c>
      <c r="B3" s="13" t="n">
        <v>30</v>
      </c>
      <c r="C3" s="13" t="n">
        <v>85</v>
      </c>
      <c r="D3" s="13" t="n">
        <v>200</v>
      </c>
      <c r="E3" s="13" t="n">
        <v>380</v>
      </c>
      <c r="F3" s="13" t="n">
        <v>620</v>
      </c>
      <c r="G3" s="13" t="n">
        <v>1315</v>
      </c>
      <c r="H3" s="12" t="n"/>
    </row>
    <row r="4">
      <c r="A4" s="8" t="inlineStr">
        <is>
          <t>新签客户 (家)</t>
        </is>
      </c>
      <c r="B4" s="14" t="n">
        <v>30</v>
      </c>
      <c r="C4" s="14" t="n">
        <v>65</v>
      </c>
      <c r="D4" s="14" t="n">
        <v>130</v>
      </c>
      <c r="E4" s="14" t="n">
        <v>220</v>
      </c>
      <c r="F4" s="14" t="n">
        <v>290</v>
      </c>
      <c r="G4" s="14" t="n">
        <v>735</v>
      </c>
      <c r="H4" s="8" t="n"/>
    </row>
    <row r="5">
      <c r="A5" s="8" t="inlineStr">
        <is>
          <t>流失客户 (家, 8% 流失率)</t>
        </is>
      </c>
      <c r="B5" s="14" t="n">
        <v>0</v>
      </c>
      <c r="C5" s="14" t="n">
        <v>10</v>
      </c>
      <c r="D5" s="14" t="n">
        <v>15</v>
      </c>
      <c r="E5" s="14" t="n">
        <v>40</v>
      </c>
      <c r="F5" s="14" t="n">
        <v>50</v>
      </c>
      <c r="G5" s="14" t="n">
        <v>115</v>
      </c>
      <c r="H5" s="8" t="n"/>
    </row>
    <row r="6">
      <c r="A6" s="8" t="inlineStr">
        <is>
          <t>净增客户 (家)</t>
        </is>
      </c>
      <c r="B6" s="14" t="n">
        <v>30</v>
      </c>
      <c r="C6" s="14" t="n">
        <v>55</v>
      </c>
      <c r="D6" s="14" t="n">
        <v>115</v>
      </c>
      <c r="E6" s="14" t="n">
        <v>180</v>
      </c>
      <c r="F6" s="14" t="n">
        <v>240</v>
      </c>
      <c r="G6" s="14" t="n">
        <v>620</v>
      </c>
      <c r="H6" s="8" t="n"/>
    </row>
    <row r="7">
      <c r="A7" s="15" t="inlineStr">
        <is>
          <t>ARPU (万/家/年, 加权)</t>
        </is>
      </c>
      <c r="B7" s="16" t="n">
        <v>50</v>
      </c>
      <c r="C7" s="16" t="n">
        <v>65</v>
      </c>
      <c r="D7" s="16" t="n">
        <v>75</v>
      </c>
      <c r="E7" s="16" t="n">
        <v>82</v>
      </c>
      <c r="F7" s="16" t="n">
        <v>90</v>
      </c>
      <c r="G7" s="16" t="n">
        <v>79</v>
      </c>
      <c r="H7" s="15" t="n"/>
    </row>
    <row r="9">
      <c r="A9" s="10">
        <f>= 营业收入 (万元) ==</f>
        <v/>
      </c>
    </row>
    <row r="10">
      <c r="A10" s="8" t="inlineStr">
        <is>
          <t>SaaS 订阅 (年付)</t>
        </is>
      </c>
      <c r="B10" s="14" t="n">
        <v>1500</v>
      </c>
      <c r="C10" s="17" t="n">
        <v>5525</v>
      </c>
      <c r="D10" s="14" t="n">
        <v>15000</v>
      </c>
      <c r="E10" s="14" t="n">
        <v>31160</v>
      </c>
      <c r="F10" s="14" t="n">
        <v>55800</v>
      </c>
      <c r="G10" s="14" t="n">
        <v>108985</v>
      </c>
      <c r="H10" s="14" t="n">
        <v>147</v>
      </c>
    </row>
    <row r="11">
      <c r="A11" s="8" t="inlineStr">
        <is>
          <t>定制开发 (项目制)</t>
        </is>
      </c>
      <c r="B11" s="14" t="n">
        <v>200</v>
      </c>
      <c r="C11" s="14" t="n">
        <v>800</v>
      </c>
      <c r="D11" s="14" t="n">
        <v>2500</v>
      </c>
      <c r="E11" s="14" t="n">
        <v>6000</v>
      </c>
      <c r="F11" s="14" t="n">
        <v>12000</v>
      </c>
      <c r="G11" s="14" t="n">
        <v>21500</v>
      </c>
      <c r="H11" s="14" t="n">
        <v>178</v>
      </c>
    </row>
    <row r="12">
      <c r="A12" s="8" t="inlineStr">
        <is>
          <t>数据 API 调用 (计量)</t>
        </is>
      </c>
      <c r="B12" s="14" t="n">
        <v>150</v>
      </c>
      <c r="C12" s="14" t="n">
        <v>425</v>
      </c>
      <c r="D12" s="14" t="n">
        <v>1200</v>
      </c>
      <c r="E12" s="14" t="n">
        <v>2700</v>
      </c>
      <c r="F12" s="14" t="n">
        <v>5500</v>
      </c>
      <c r="G12" s="14" t="n">
        <v>9975</v>
      </c>
      <c r="H12" s="14" t="n">
        <v>147</v>
      </c>
    </row>
    <row r="13">
      <c r="A13" s="8" t="inlineStr">
        <is>
          <t>投研培训 + 咨询</t>
        </is>
      </c>
      <c r="B13" s="14" t="n">
        <v>50</v>
      </c>
      <c r="C13" s="14" t="n">
        <v>200</v>
      </c>
      <c r="D13" s="14" t="n">
        <v>600</v>
      </c>
      <c r="E13" s="14" t="n">
        <v>1400</v>
      </c>
      <c r="F13" s="14" t="n">
        <v>3200</v>
      </c>
      <c r="G13" s="14" t="n">
        <v>5450</v>
      </c>
      <c r="H13" s="14" t="n">
        <v>183</v>
      </c>
    </row>
    <row r="14">
      <c r="A14" s="8" t="inlineStr">
        <is>
          <t>战略合作 (推荐单位导入)</t>
        </is>
      </c>
      <c r="B14" s="14" t="n">
        <v>100</v>
      </c>
      <c r="C14" s="14" t="n">
        <v>350</v>
      </c>
      <c r="D14" s="14" t="n">
        <v>800</v>
      </c>
      <c r="E14" s="14" t="n">
        <v>1700</v>
      </c>
      <c r="F14" s="14" t="n">
        <v>3000</v>
      </c>
      <c r="G14" s="14" t="n">
        <v>5950</v>
      </c>
      <c r="H14" s="14" t="n">
        <v>134</v>
      </c>
    </row>
    <row r="15">
      <c r="A15" s="18" t="inlineStr">
        <is>
          <t>营业总收入</t>
        </is>
      </c>
      <c r="B15" s="19" t="n">
        <v>2000</v>
      </c>
      <c r="C15" s="19" t="n">
        <v>7300</v>
      </c>
      <c r="D15" s="19" t="n">
        <v>20100</v>
      </c>
      <c r="E15" s="19" t="n">
        <v>42960</v>
      </c>
      <c r="F15" s="19" t="n">
        <v>79500</v>
      </c>
      <c r="G15" s="19" t="n">
        <v>151860</v>
      </c>
      <c r="H15" s="19" t="n">
        <v>147</v>
      </c>
    </row>
    <row r="16">
      <c r="A16" s="20" t="inlineStr">
        <is>
          <t>同比增长 (%)</t>
        </is>
      </c>
      <c r="B16" s="20" t="inlineStr">
        <is>
          <t>-</t>
        </is>
      </c>
      <c r="C16" s="20" t="inlineStr">
        <is>
          <t>265%</t>
        </is>
      </c>
      <c r="D16" s="20" t="inlineStr">
        <is>
          <t>175%</t>
        </is>
      </c>
      <c r="E16" s="20" t="inlineStr">
        <is>
          <t>114%</t>
        </is>
      </c>
      <c r="F16" s="20" t="inlineStr">
        <is>
          <t>85%</t>
        </is>
      </c>
      <c r="G16" s="20" t="n"/>
      <c r="H16" s="20" t="inlineStr">
        <is>
          <t>147% CAGR</t>
        </is>
      </c>
    </row>
    <row r="18">
      <c r="A18" s="2">
        <f>= 收入结构 (基准年 2026) ==</f>
        <v/>
      </c>
    </row>
    <row r="19">
      <c r="A19" s="4" t="inlineStr">
        <is>
          <t>SaaS 订阅</t>
        </is>
      </c>
      <c r="B19" s="2" t="inlineStr">
        <is>
          <t>75%</t>
        </is>
      </c>
      <c r="C19" s="4" t="inlineStr">
        <is>
          <t>主要收入来源, 稳定可预期</t>
        </is>
      </c>
    </row>
    <row r="20">
      <c r="A20" s="4" t="inlineStr">
        <is>
          <t>定制开发</t>
        </is>
      </c>
      <c r="B20" s="2" t="inlineStr">
        <is>
          <t>10%</t>
        </is>
      </c>
      <c r="C20" s="4" t="inlineStr">
        <is>
          <t>高毛利, 提升大客户粘性</t>
        </is>
      </c>
    </row>
    <row r="21">
      <c r="A21" s="4" t="inlineStr">
        <is>
          <t>数据 API</t>
        </is>
      </c>
      <c r="B21" s="2" t="inlineStr">
        <is>
          <t>7.5%</t>
        </is>
      </c>
      <c r="C21" s="4" t="inlineStr">
        <is>
          <t>补充, 拓展新场景</t>
        </is>
      </c>
    </row>
    <row r="22">
      <c r="A22" s="4" t="inlineStr">
        <is>
          <t>投研培训</t>
        </is>
      </c>
      <c r="B22" s="2" t="inlineStr">
        <is>
          <t>2.5%</t>
        </is>
      </c>
      <c r="C22" s="4" t="inlineStr">
        <is>
          <t>品牌建设 + 客户教育</t>
        </is>
      </c>
    </row>
    <row r="23">
      <c r="A23" s="4" t="inlineStr">
        <is>
          <t>战略合作</t>
        </is>
      </c>
      <c r="B23" s="2" t="inlineStr">
        <is>
          <t>5%</t>
        </is>
      </c>
      <c r="C23" s="4" t="inlineStr">
        <is>
          <t>推荐单位导入, 示范效应</t>
        </is>
      </c>
    </row>
  </sheetData>
  <mergeCells count="6">
    <mergeCell ref="A1:H1"/>
    <mergeCell ref="C19:H19"/>
    <mergeCell ref="C22:H22"/>
    <mergeCell ref="C23:H23"/>
    <mergeCell ref="C20:H20"/>
    <mergeCell ref="C21:H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5 年成本与利润预测 (基准场景)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项目</t>
        </is>
      </c>
      <c r="B2" s="7" t="inlineStr">
        <is>
          <t>2026</t>
        </is>
      </c>
      <c r="C2" s="7" t="inlineStr">
        <is>
          <t>2027</t>
        </is>
      </c>
      <c r="D2" s="7" t="inlineStr">
        <is>
          <t>2028</t>
        </is>
      </c>
      <c r="E2" s="7" t="inlineStr">
        <is>
          <t>2029</t>
        </is>
      </c>
      <c r="F2" s="7" t="inlineStr">
        <is>
          <t>2030</t>
        </is>
      </c>
      <c r="G2" s="7" t="inlineStr">
        <is>
          <t>5 年合计</t>
        </is>
      </c>
      <c r="H2" s="7" t="inlineStr">
        <is>
          <t>占比/率</t>
        </is>
      </c>
    </row>
    <row r="3">
      <c r="A3" s="10">
        <f>= 营业成本 ==</f>
        <v/>
      </c>
    </row>
    <row r="4">
      <c r="A4" s="8" t="inlineStr">
        <is>
          <t>数据采购</t>
        </is>
      </c>
      <c r="B4" s="14" t="n">
        <v>100</v>
      </c>
      <c r="C4" s="14" t="n">
        <v>290</v>
      </c>
      <c r="D4" s="14" t="n">
        <v>600</v>
      </c>
      <c r="E4" s="14" t="n">
        <v>1100</v>
      </c>
      <c r="F4" s="14" t="n">
        <v>1800</v>
      </c>
      <c r="G4" s="14" t="n">
        <v>3890</v>
      </c>
      <c r="H4" s="8" t="inlineStr">
        <is>
          <t>4.5% 营收</t>
        </is>
      </c>
    </row>
    <row r="5">
      <c r="A5" s="8" t="inlineStr">
        <is>
          <t>云服务 / 算力</t>
        </is>
      </c>
      <c r="B5" s="14" t="n">
        <v>150</v>
      </c>
      <c r="C5" s="14" t="n">
        <v>380</v>
      </c>
      <c r="D5" s="14" t="n">
        <v>700</v>
      </c>
      <c r="E5" s="14" t="n">
        <v>1300</v>
      </c>
      <c r="F5" s="14" t="n">
        <v>2200</v>
      </c>
      <c r="G5" s="14" t="n">
        <v>4730</v>
      </c>
      <c r="H5" s="8" t="inlineStr">
        <is>
          <t>5% 营收</t>
        </is>
      </c>
    </row>
    <row r="6">
      <c r="A6" s="8" t="inlineStr">
        <is>
          <t>第三方 AI 接口 (DeepSeek/Qwen)</t>
        </is>
      </c>
      <c r="B6" s="14" t="n">
        <v>80</v>
      </c>
      <c r="C6" s="14" t="n">
        <v>200</v>
      </c>
      <c r="D6" s="14" t="n">
        <v>350</v>
      </c>
      <c r="E6" s="14" t="n">
        <v>600</v>
      </c>
      <c r="F6" s="14" t="n">
        <v>900</v>
      </c>
      <c r="G6" s="14" t="n">
        <v>2130</v>
      </c>
      <c r="H6" s="8" t="inlineStr">
        <is>
          <t>2.5%</t>
        </is>
      </c>
    </row>
    <row r="7">
      <c r="A7" s="8" t="inlineStr">
        <is>
          <t>人力 (研发 60%)</t>
        </is>
      </c>
      <c r="B7" s="14" t="n">
        <v>800</v>
      </c>
      <c r="C7" s="14" t="n">
        <v>1800</v>
      </c>
      <c r="D7" s="14" t="n">
        <v>3200</v>
      </c>
      <c r="E7" s="14" t="n">
        <v>5500</v>
      </c>
      <c r="F7" s="14" t="n">
        <v>8500</v>
      </c>
      <c r="G7" s="14" t="n">
        <v>19800</v>
      </c>
      <c r="H7" s="8" t="inlineStr">
        <is>
          <t>技术岗 + 基础</t>
        </is>
      </c>
    </row>
    <row r="8">
      <c r="A8" s="8" t="inlineStr">
        <is>
          <t>客户成功 (续约支持)</t>
        </is>
      </c>
      <c r="B8" s="14" t="n">
        <v>60</v>
      </c>
      <c r="C8" s="14" t="n">
        <v>200</v>
      </c>
      <c r="D8" s="14" t="n">
        <v>500</v>
      </c>
      <c r="E8" s="14" t="n">
        <v>1100</v>
      </c>
      <c r="F8" s="14" t="n">
        <v>2200</v>
      </c>
      <c r="G8" s="14" t="n">
        <v>4060</v>
      </c>
      <c r="H8" s="8" t="inlineStr">
        <is>
          <t>5-8%</t>
        </is>
      </c>
    </row>
    <row r="9">
      <c r="A9" s="8" t="inlineStr">
        <is>
          <t>差旅 + 销售成本</t>
        </is>
      </c>
      <c r="B9" s="14" t="n">
        <v>50</v>
      </c>
      <c r="C9" s="14" t="n">
        <v>180</v>
      </c>
      <c r="D9" s="14" t="n">
        <v>450</v>
      </c>
      <c r="E9" s="14" t="n">
        <v>950</v>
      </c>
      <c r="F9" s="14" t="n">
        <v>1900</v>
      </c>
      <c r="G9" s="14" t="n">
        <v>3530</v>
      </c>
      <c r="H9" s="8" t="inlineStr">
        <is>
          <t>5% 营收</t>
        </is>
      </c>
    </row>
    <row r="10">
      <c r="A10" s="12" t="inlineStr">
        <is>
          <t>营业成本合计</t>
        </is>
      </c>
      <c r="B10" s="13" t="n">
        <v>1240</v>
      </c>
      <c r="C10" s="13" t="n">
        <v>3050</v>
      </c>
      <c r="D10" s="13" t="n">
        <v>5800</v>
      </c>
      <c r="E10" s="13" t="n">
        <v>10550</v>
      </c>
      <c r="F10" s="13" t="n">
        <v>17500</v>
      </c>
      <c r="G10" s="13" t="n">
        <v>38140</v>
      </c>
      <c r="H10" s="12" t="inlineStr">
        <is>
          <t>27% 营收</t>
        </is>
      </c>
    </row>
    <row r="12">
      <c r="A12" s="2" t="inlineStr">
        <is>
          <t>毛利润</t>
        </is>
      </c>
      <c r="B12" s="13" t="n">
        <v>760</v>
      </c>
      <c r="C12" s="13" t="n">
        <v>4250</v>
      </c>
      <c r="D12" s="13" t="n">
        <v>14300</v>
      </c>
      <c r="E12" s="13" t="n">
        <v>32410</v>
      </c>
      <c r="F12" s="13" t="n">
        <v>62000</v>
      </c>
      <c r="G12" s="13" t="n">
        <v>113720</v>
      </c>
      <c r="H12" s="13" t="n">
        <v>75</v>
      </c>
    </row>
    <row r="13">
      <c r="A13" t="inlineStr">
        <is>
          <t>毛利率 (%)</t>
        </is>
      </c>
      <c r="B13" s="20" t="inlineStr">
        <is>
          <t>38%</t>
        </is>
      </c>
      <c r="C13" s="20" t="inlineStr">
        <is>
          <t>58%</t>
        </is>
      </c>
      <c r="D13" s="20" t="inlineStr">
        <is>
          <t>71%</t>
        </is>
      </c>
      <c r="E13" s="20" t="inlineStr">
        <is>
          <t>75%</t>
        </is>
      </c>
      <c r="F13" s="20" t="inlineStr">
        <is>
          <t>78%</t>
        </is>
      </c>
      <c r="G13" s="20" t="inlineStr">
        <is>
          <t>75%</t>
        </is>
      </c>
      <c r="H13" s="21" t="n"/>
    </row>
    <row r="15">
      <c r="A15" s="10">
        <f>= 期间费用 ==</f>
        <v/>
      </c>
    </row>
    <row r="16">
      <c r="A16" s="8" t="inlineStr">
        <is>
          <t>研发 (含 AI 训练)</t>
        </is>
      </c>
      <c r="B16" s="14" t="n">
        <v>1500</v>
      </c>
      <c r="C16" s="14" t="n">
        <v>2500</v>
      </c>
      <c r="D16" s="14" t="n">
        <v>4500</v>
      </c>
      <c r="E16" s="14" t="n">
        <v>7500</v>
      </c>
      <c r="F16" s="14" t="n">
        <v>12000</v>
      </c>
      <c r="G16" s="14" t="n">
        <v>28000</v>
      </c>
      <c r="H16" s="8" t="inlineStr">
        <is>
          <t>15% 营收</t>
        </is>
      </c>
    </row>
    <row r="17">
      <c r="A17" s="8" t="inlineStr">
        <is>
          <t>销售 (含 BD)</t>
        </is>
      </c>
      <c r="B17" s="14" t="n">
        <v>800</v>
      </c>
      <c r="C17" s="14" t="n">
        <v>1800</v>
      </c>
      <c r="D17" s="14" t="n">
        <v>4200</v>
      </c>
      <c r="E17" s="14" t="n">
        <v>9000</v>
      </c>
      <c r="F17" s="14" t="n">
        <v>18000</v>
      </c>
      <c r="G17" s="14" t="n">
        <v>33800</v>
      </c>
      <c r="H17" s="8" t="inlineStr">
        <is>
          <t>23% 营收</t>
        </is>
      </c>
    </row>
    <row r="18">
      <c r="A18" s="8" t="inlineStr">
        <is>
          <t>管理 (含财务/法务)</t>
        </is>
      </c>
      <c r="B18" s="14" t="n">
        <v>200</v>
      </c>
      <c r="C18" s="14" t="n">
        <v>400</v>
      </c>
      <c r="D18" s="14" t="n">
        <v>800</v>
      </c>
      <c r="E18" s="14" t="n">
        <v>1500</v>
      </c>
      <c r="F18" s="14" t="n">
        <v>2800</v>
      </c>
      <c r="G18" s="14" t="n">
        <v>5700</v>
      </c>
      <c r="H18" s="8" t="inlineStr">
        <is>
          <t>3.5%</t>
        </is>
      </c>
    </row>
    <row r="19">
      <c r="A19" s="8" t="inlineStr">
        <is>
          <t>营销</t>
        </is>
      </c>
      <c r="B19" s="14" t="n">
        <v>100</v>
      </c>
      <c r="C19" s="14" t="n">
        <v>350</v>
      </c>
      <c r="D19" s="14" t="n">
        <v>900</v>
      </c>
      <c r="E19" s="14" t="n">
        <v>2000</v>
      </c>
      <c r="F19" s="14" t="n">
        <v>4000</v>
      </c>
      <c r="G19" s="14" t="n">
        <v>7350</v>
      </c>
      <c r="H19" s="8" t="inlineStr">
        <is>
          <t>5%</t>
        </is>
      </c>
    </row>
    <row r="20">
      <c r="A20" s="12" t="inlineStr">
        <is>
          <t>期间费用合计</t>
        </is>
      </c>
      <c r="B20" s="13" t="n">
        <v>2600</v>
      </c>
      <c r="C20" s="13" t="n">
        <v>5050</v>
      </c>
      <c r="D20" s="13" t="n">
        <v>10400</v>
      </c>
      <c r="E20" s="13" t="n">
        <v>20000</v>
      </c>
      <c r="F20" s="13" t="n">
        <v>36800</v>
      </c>
      <c r="G20" s="13" t="n">
        <v>74850</v>
      </c>
      <c r="H20" s="12" t="inlineStr">
        <is>
          <t>49% 营收</t>
        </is>
      </c>
    </row>
    <row r="21">
      <c r="A21" s="2" t="inlineStr">
        <is>
          <t>营业利润</t>
        </is>
      </c>
      <c r="B21" s="13" t="n">
        <v>-1840</v>
      </c>
      <c r="C21" s="13" t="n">
        <v>-800</v>
      </c>
      <c r="D21" s="13" t="n">
        <v>3900</v>
      </c>
      <c r="E21" s="13" t="n">
        <v>12410</v>
      </c>
      <c r="F21" s="13" t="n">
        <v>25200</v>
      </c>
      <c r="G21" s="13" t="n">
        <v>38870</v>
      </c>
      <c r="H21" s="13" t="n">
        <v>26</v>
      </c>
    </row>
    <row r="22">
      <c r="A22" t="inlineStr">
        <is>
          <t>营业利润率 (%)</t>
        </is>
      </c>
      <c r="B22" s="20" t="inlineStr">
        <is>
          <t>-92%</t>
        </is>
      </c>
      <c r="C22" s="20" t="inlineStr">
        <is>
          <t>-11%</t>
        </is>
      </c>
      <c r="D22" s="20" t="inlineStr">
        <is>
          <t>19%</t>
        </is>
      </c>
      <c r="E22" s="20" t="inlineStr">
        <is>
          <t>29%</t>
        </is>
      </c>
      <c r="F22" s="20" t="inlineStr">
        <is>
          <t>32%</t>
        </is>
      </c>
      <c r="G22" s="20" t="inlineStr">
        <is>
          <t>26%</t>
        </is>
      </c>
      <c r="H22" s="21" t="n"/>
    </row>
    <row r="24">
      <c r="A24" s="18" t="inlineStr">
        <is>
          <t>净利润</t>
        </is>
      </c>
      <c r="B24" s="19" t="n">
        <v>-1840</v>
      </c>
      <c r="C24" s="19" t="n">
        <v>-800</v>
      </c>
      <c r="D24" s="19" t="n">
        <v>2925</v>
      </c>
      <c r="E24" s="19" t="n">
        <v>9310</v>
      </c>
      <c r="F24" s="19" t="n">
        <v>19800</v>
      </c>
      <c r="G24" s="19" t="n">
        <v>29395</v>
      </c>
      <c r="H24" s="19" t="n">
        <v>22</v>
      </c>
    </row>
    <row r="25">
      <c r="A25" t="inlineStr">
        <is>
          <t>净利率 (%)</t>
        </is>
      </c>
      <c r="B25" s="20" t="inlineStr">
        <is>
          <t>-92%</t>
        </is>
      </c>
      <c r="C25" s="20" t="inlineStr">
        <is>
          <t>-11%</t>
        </is>
      </c>
      <c r="D25" s="20" t="inlineStr">
        <is>
          <t>15%</t>
        </is>
      </c>
      <c r="E25" s="20" t="inlineStr">
        <is>
          <t>22%</t>
        </is>
      </c>
      <c r="F25" s="20" t="inlineStr">
        <is>
          <t>25%</t>
        </is>
      </c>
      <c r="G25" s="20" t="inlineStr">
        <is>
          <t>22%</t>
        </is>
      </c>
      <c r="H25" s="21" t="n"/>
    </row>
    <row r="26">
      <c r="A26" s="4" t="inlineStr">
        <is>
          <t>(适用所得税 0%/0%/15%/15%/15%)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单位经济 (Unit Economics) 与客户成功指标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指标</t>
        </is>
      </c>
      <c r="B2" s="7" t="inlineStr">
        <is>
          <t>2026</t>
        </is>
      </c>
      <c r="C2" s="7" t="inlineStr">
        <is>
          <t>2027</t>
        </is>
      </c>
      <c r="D2" s="7" t="inlineStr">
        <is>
          <t>2028</t>
        </is>
      </c>
      <c r="E2" s="7" t="inlineStr">
        <is>
          <t>2029</t>
        </is>
      </c>
      <c r="F2" s="7" t="inlineStr">
        <is>
          <t>2030</t>
        </is>
      </c>
      <c r="G2" s="7" t="inlineStr">
        <is>
          <t>行业基准</t>
        </is>
      </c>
      <c r="H2" s="7" t="inlineStr">
        <is>
          <t>对标</t>
        </is>
      </c>
    </row>
    <row r="3">
      <c r="A3" s="8" t="inlineStr">
        <is>
          <t>CAC (客户获取成本, 万/家)</t>
        </is>
      </c>
      <c r="B3" s="14" t="n">
        <v>12</v>
      </c>
      <c r="C3" s="14" t="n">
        <v>11</v>
      </c>
      <c r="D3" s="14" t="n">
        <v>10</v>
      </c>
      <c r="E3" s="14" t="n">
        <v>9</v>
      </c>
      <c r="F3" s="14" t="n">
        <v>8</v>
      </c>
      <c r="G3" s="8" t="inlineStr">
        <is>
          <t>8-15</t>
        </is>
      </c>
      <c r="H3" s="8" t="inlineStr">
        <is>
          <t>处于行业中位</t>
        </is>
      </c>
    </row>
    <row r="4">
      <c r="A4" s="8" t="inlineStr">
        <is>
          <t>LTV (客户终身价值, 万/家)</t>
        </is>
      </c>
      <c r="B4" s="14" t="n">
        <v>80</v>
      </c>
      <c r="C4" s="14" t="n">
        <v>130</v>
      </c>
      <c r="D4" s="14" t="n">
        <v>180</v>
      </c>
      <c r="E4" s="14" t="n">
        <v>240</v>
      </c>
      <c r="F4" s="14" t="n">
        <v>320</v>
      </c>
      <c r="G4" s="8" t="inlineStr">
        <is>
          <t>80-300</t>
        </is>
      </c>
      <c r="H4" s="8" t="inlineStr">
        <is>
          <t>LTV/CAC &gt; 10</t>
        </is>
      </c>
    </row>
    <row r="5">
      <c r="A5" s="8" t="inlineStr">
        <is>
          <t>回收期 (月)</t>
        </is>
      </c>
      <c r="B5" s="17" t="n">
        <v>18</v>
      </c>
      <c r="C5" s="17" t="n">
        <v>12</v>
      </c>
      <c r="D5" s="17" t="n">
        <v>8</v>
      </c>
      <c r="E5" s="17" t="n">
        <v>6</v>
      </c>
      <c r="F5" s="17" t="n">
        <v>5</v>
      </c>
      <c r="G5" s="8" t="inlineStr">
        <is>
          <t>6-18</t>
        </is>
      </c>
      <c r="H5" s="8" t="inlineStr">
        <is>
          <t>逐年优化</t>
        </is>
      </c>
    </row>
    <row r="6">
      <c r="A6" s="8" t="inlineStr">
        <is>
          <t>LTV / CAC</t>
        </is>
      </c>
      <c r="B6" s="17" t="n">
        <v>6.7</v>
      </c>
      <c r="C6" s="17" t="n">
        <v>11.8</v>
      </c>
      <c r="D6" s="17" t="n">
        <v>18</v>
      </c>
      <c r="E6" s="17" t="n">
        <v>26.7</v>
      </c>
      <c r="F6" s="17" t="n">
        <v>40</v>
      </c>
      <c r="G6" s="8" t="inlineStr">
        <is>
          <t>&gt; 3 健康</t>
        </is>
      </c>
      <c r="H6" s="8" t="inlineStr">
        <is>
          <t>&gt;&gt;&gt; 3</t>
        </is>
      </c>
    </row>
    <row r="7">
      <c r="A7" s="8" t="inlineStr">
        <is>
          <t>续约率 (%)</t>
        </is>
      </c>
      <c r="B7" s="8" t="inlineStr">
        <is>
          <t>95%</t>
        </is>
      </c>
      <c r="C7" s="8" t="inlineStr">
        <is>
          <t>93%</t>
        </is>
      </c>
      <c r="D7" s="8" t="inlineStr">
        <is>
          <t>92%</t>
        </is>
      </c>
      <c r="E7" s="8" t="inlineStr">
        <is>
          <t>92%</t>
        </is>
      </c>
      <c r="F7" s="8" t="inlineStr">
        <is>
          <t>92%</t>
        </is>
      </c>
      <c r="G7" s="8" t="inlineStr">
        <is>
          <t>85-95%</t>
        </is>
      </c>
      <c r="H7" s="8" t="inlineStr">
        <is>
          <t>高于行业</t>
        </is>
      </c>
    </row>
    <row r="8">
      <c r="A8" s="8" t="inlineStr">
        <is>
          <t>NRR (净收入留存, %)</t>
        </is>
      </c>
      <c r="B8" s="8" t="inlineStr">
        <is>
          <t>108%</t>
        </is>
      </c>
      <c r="C8" s="8" t="inlineStr">
        <is>
          <t>112%</t>
        </is>
      </c>
      <c r="D8" s="8" t="inlineStr">
        <is>
          <t>115%</t>
        </is>
      </c>
      <c r="E8" s="8" t="inlineStr">
        <is>
          <t>118%</t>
        </is>
      </c>
      <c r="F8" s="8" t="inlineStr">
        <is>
          <t>120%</t>
        </is>
      </c>
      <c r="G8" s="8" t="inlineStr">
        <is>
          <t>100-120%</t>
        </is>
      </c>
      <c r="H8" s="8" t="inlineStr">
        <is>
          <t>SaaS 金标准</t>
        </is>
      </c>
    </row>
    <row r="9">
      <c r="A9" s="8" t="inlineStr">
        <is>
          <t>客户流失率 (%)</t>
        </is>
      </c>
      <c r="B9" s="8" t="inlineStr">
        <is>
          <t>5%</t>
        </is>
      </c>
      <c r="C9" s="8" t="inlineStr">
        <is>
          <t>7%</t>
        </is>
      </c>
      <c r="D9" s="8" t="inlineStr">
        <is>
          <t>8%</t>
        </is>
      </c>
      <c r="E9" s="8" t="inlineStr">
        <is>
          <t>8%</t>
        </is>
      </c>
      <c r="F9" s="8" t="inlineStr">
        <is>
          <t>8%</t>
        </is>
      </c>
      <c r="G9" s="8" t="inlineStr">
        <is>
          <t>5-15%</t>
        </is>
      </c>
      <c r="H9" s="8" t="inlineStr">
        <is>
          <t>行业平均</t>
        </is>
      </c>
    </row>
    <row r="10">
      <c r="A10" s="8" t="inlineStr">
        <is>
          <t>ARPU 增长 (YoY)</t>
        </is>
      </c>
      <c r="B10" s="8" t="inlineStr">
        <is>
          <t>-</t>
        </is>
      </c>
      <c r="C10" s="8" t="inlineStr">
        <is>
          <t>30%</t>
        </is>
      </c>
      <c r="D10" s="8" t="inlineStr">
        <is>
          <t>15%</t>
        </is>
      </c>
      <c r="E10" s="8" t="inlineStr">
        <is>
          <t>9%</t>
        </is>
      </c>
      <c r="F10" s="8" t="inlineStr">
        <is>
          <t>10%</t>
        </is>
      </c>
      <c r="G10" s="8" t="inlineStr">
        <is>
          <t>10-30%</t>
        </is>
      </c>
      <c r="H10" s="8" t="inlineStr">
        <is>
          <t>扩张销售驱动</t>
        </is>
      </c>
    </row>
    <row r="11">
      <c r="A11" s="8" t="inlineStr">
        <is>
          <t>单人创收 (万/人/年)</t>
        </is>
      </c>
      <c r="B11" s="14" t="n">
        <v>13</v>
      </c>
      <c r="C11" s="14" t="n">
        <v>24</v>
      </c>
      <c r="D11" s="14" t="n">
        <v>40</v>
      </c>
      <c r="E11" s="14" t="n">
        <v>54</v>
      </c>
      <c r="F11" s="14" t="n">
        <v>80</v>
      </c>
      <c r="G11" s="8" t="inlineStr">
        <is>
          <t>50-200</t>
        </is>
      </c>
      <c r="H11" s="8" t="inlineStr">
        <is>
          <t>快速逼近基准</t>
        </is>
      </c>
    </row>
    <row r="12">
      <c r="A12" s="8" t="inlineStr">
        <is>
          <t>单人毛利 (万/人/年)</t>
        </is>
      </c>
      <c r="B12" s="14" t="n">
        <v>5</v>
      </c>
      <c r="C12" s="14" t="n">
        <v>14</v>
      </c>
      <c r="D12" s="14" t="n">
        <v>28</v>
      </c>
      <c r="E12" s="14" t="n">
        <v>41</v>
      </c>
      <c r="F12" s="14" t="n">
        <v>62</v>
      </c>
      <c r="G12" s="8" t="inlineStr">
        <is>
          <t>30-120</t>
        </is>
      </c>
      <c r="H12" s="8" t="inlineStr">
        <is>
          <t>健康水平</t>
        </is>
      </c>
    </row>
    <row r="14">
      <c r="A14" s="2">
        <f>= 客户成功漏斗 (2030 年稳态) ==</f>
        <v/>
      </c>
    </row>
    <row r="15">
      <c r="A15" s="4" t="inlineStr">
        <is>
          <t>线索 (Leads)</t>
        </is>
      </c>
      <c r="B15" s="22" t="inlineStr">
        <is>
          <t>5000</t>
        </is>
      </c>
    </row>
    <row r="16">
      <c r="A16" s="4" t="inlineStr">
        <is>
          <t>MQL (营销合格线索)</t>
        </is>
      </c>
      <c r="B16" s="22" t="inlineStr">
        <is>
          <t>1500</t>
        </is>
      </c>
    </row>
    <row r="17">
      <c r="A17" s="4" t="inlineStr">
        <is>
          <t>SQL (销售合格线索)</t>
        </is>
      </c>
      <c r="B17" s="22" t="inlineStr">
        <is>
          <t>600</t>
        </is>
      </c>
    </row>
    <row r="18">
      <c r="A18" s="4" t="inlineStr">
        <is>
          <t>机会 (Opportunities)</t>
        </is>
      </c>
      <c r="B18" s="22" t="inlineStr">
        <is>
          <t>290</t>
        </is>
      </c>
    </row>
    <row r="19">
      <c r="A19" s="4" t="inlineStr">
        <is>
          <t>签约 (Closed Won)</t>
        </is>
      </c>
      <c r="B19" s="23" t="inlineStr">
        <is>
          <t>240</t>
        </is>
      </c>
    </row>
    <row r="20">
      <c r="A20" s="4" t="inlineStr">
        <is>
          <t>续约 (Renewed, 92%)</t>
        </is>
      </c>
      <c r="B20" s="22" t="inlineStr">
        <is>
          <t>221</t>
        </is>
      </c>
    </row>
    <row r="21">
      <c r="A21" s="4" t="inlineStr">
        <is>
          <t>扩展销售 (Upsell, 25%)</t>
        </is>
      </c>
      <c r="B21" s="22" t="inlineStr">
        <is>
          <t>55</t>
        </is>
      </c>
    </row>
    <row r="22">
      <c r="A22" s="4" t="inlineStr">
        <is>
          <t>流失 (Churned, 8%)</t>
        </is>
      </c>
      <c r="B22" s="22" t="inlineStr">
        <is>
          <t>19</t>
        </is>
      </c>
    </row>
    <row r="23">
      <c r="A23" s="4" t="inlineStr">
        <is>
          <t>净增客户</t>
        </is>
      </c>
      <c r="B23" s="23" t="inlineStr">
        <is>
          <t>276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2430" max="2430"/>
  </cols>
  <sheetData>
    <row r="1">
      <c r="A1" s="5" t="inlineStr">
        <is>
          <t>5 年融资轮次 + 估值路径 (资管科技子公司视角)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轮次</t>
        </is>
      </c>
      <c r="B2" s="7" t="inlineStr">
        <is>
          <t>时点 (月)</t>
        </is>
      </c>
      <c r="C2" s="7" t="inlineStr">
        <is>
          <t>金额 (万)</t>
        </is>
      </c>
      <c r="D2" s="7" t="inlineStr">
        <is>
          <t>投后估值 (万)</t>
        </is>
      </c>
      <c r="E2" s="7" t="inlineStr">
        <is>
          <t>股本稀释</t>
        </is>
      </c>
      <c r="F2" s="7" t="inlineStr">
        <is>
          <t>P/S 倍数</t>
        </is>
      </c>
      <c r="G2" s="7" t="inlineStr">
        <is>
          <t>领投方</t>
        </is>
      </c>
      <c r="H2" s="7" t="inlineStr">
        <is>
          <t>用途</t>
        </is>
      </c>
    </row>
    <row r="3">
      <c r="A3" s="8" t="inlineStr">
        <is>
          <t>天使轮</t>
        </is>
      </c>
      <c r="B3" s="8" t="inlineStr">
        <is>
          <t>6</t>
        </is>
      </c>
      <c r="C3" s="8" t="inlineStr">
        <is>
          <t>500</t>
        </is>
      </c>
      <c r="D3" s="8" t="inlineStr">
        <is>
          <t>5000</t>
        </is>
      </c>
      <c r="E3" s="8" t="inlineStr">
        <is>
          <t>10%</t>
        </is>
      </c>
      <c r="F3" s="8" t="inlineStr">
        <is>
          <t>25x</t>
        </is>
      </c>
      <c r="G3" s="8" t="inlineStr">
        <is>
          <t>慧点资本 + 推荐单位</t>
        </is>
      </c>
      <c r="H3" s="8" t="inlineStr">
        <is>
          <t>MVP + 5 客户</t>
        </is>
      </c>
    </row>
    <row r="4">
      <c r="A4" s="8" t="inlineStr">
        <is>
          <t>Pre-A</t>
        </is>
      </c>
      <c r="B4" s="8" t="inlineStr">
        <is>
          <t>12</t>
        </is>
      </c>
      <c r="C4" s="8" t="inlineStr">
        <is>
          <t>3000</t>
        </is>
      </c>
      <c r="D4" s="8" t="inlineStr">
        <is>
          <t>30000</t>
        </is>
      </c>
      <c r="E4" s="8" t="inlineStr">
        <is>
          <t>10%</t>
        </is>
      </c>
      <c r="F4" s="8" t="inlineStr">
        <is>
          <t>20x</t>
        </is>
      </c>
      <c r="G4" s="8" t="inlineStr">
        <is>
          <t>一线 VC</t>
        </is>
      </c>
      <c r="H4" s="8" t="inlineStr">
        <is>
          <t>产品 2.0 + 30 客户</t>
        </is>
      </c>
    </row>
    <row r="5">
      <c r="A5" s="8" t="inlineStr">
        <is>
          <t>A 轮</t>
        </is>
      </c>
      <c r="B5" s="8" t="inlineStr">
        <is>
          <t>24</t>
        </is>
      </c>
      <c r="C5" s="8" t="inlineStr">
        <is>
          <t>10000</t>
        </is>
      </c>
      <c r="D5" s="8" t="inlineStr">
        <is>
          <t>80000</t>
        </is>
      </c>
      <c r="E5" s="8" t="inlineStr">
        <is>
          <t>12.5%</t>
        </is>
      </c>
      <c r="F5" s="8" t="inlineStr">
        <is>
          <t>11x</t>
        </is>
      </c>
      <c r="G5" s="8" t="inlineStr">
        <is>
          <t>一线 VC + 产业资本</t>
        </is>
      </c>
      <c r="H5" s="8" t="inlineStr">
        <is>
          <t>销售扩张 + 100 客户</t>
        </is>
      </c>
    </row>
    <row r="6">
      <c r="A6" s="8" t="inlineStr">
        <is>
          <t>B 轮</t>
        </is>
      </c>
      <c r="B6" s="8" t="inlineStr">
        <is>
          <t>36</t>
        </is>
      </c>
      <c r="C6" s="8" t="inlineStr">
        <is>
          <t>30000</t>
        </is>
      </c>
      <c r="D6" s="8" t="inlineStr">
        <is>
          <t>200000</t>
        </is>
      </c>
      <c r="E6" s="8" t="inlineStr">
        <is>
          <t>15%</t>
        </is>
      </c>
      <c r="F6" s="8" t="inlineStr">
        <is>
          <t>10x</t>
        </is>
      </c>
      <c r="G6" s="8" t="inlineStr">
        <is>
          <t>顶级 PE + 战投</t>
        </is>
      </c>
      <c r="H6" s="8" t="inlineStr">
        <is>
          <t>技术壁垒 + 200 客户</t>
        </is>
      </c>
    </row>
    <row r="7">
      <c r="A7" s="8" t="inlineStr">
        <is>
          <t>Pre-IPO</t>
        </is>
      </c>
      <c r="B7" s="8" t="inlineStr">
        <is>
          <t>54</t>
        </is>
      </c>
      <c r="C7" s="8" t="inlineStr">
        <is>
          <t>0</t>
        </is>
      </c>
      <c r="D7" s="8" t="inlineStr">
        <is>
          <t>500000</t>
        </is>
      </c>
      <c r="E7" s="8" t="inlineStr">
        <is>
          <t>0%</t>
        </is>
      </c>
      <c r="F7" s="8" t="inlineStr">
        <is>
          <t>8x</t>
        </is>
      </c>
      <c r="G7" s="8" t="inlineStr">
        <is>
          <t>二级市场</t>
        </is>
      </c>
      <c r="H7" s="8" t="inlineStr">
        <is>
          <t>IPO 准备</t>
        </is>
      </c>
    </row>
    <row r="8">
      <c r="A8" s="12" t="inlineStr">
        <is>
          <t>5 年累计融资</t>
        </is>
      </c>
      <c r="B8" s="12" t="inlineStr"/>
      <c r="C8" s="12" t="inlineStr">
        <is>
          <t>43500</t>
        </is>
      </c>
      <c r="D8" s="12" t="inlineStr">
        <is>
          <t>-</t>
        </is>
      </c>
      <c r="E8" s="12" t="inlineStr">
        <is>
          <t>47.5%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</row>
    <row r="10">
      <c r="A10" s="2">
        <f>= 估值方法 (3 种交叉验证) ==</f>
        <v/>
      </c>
    </row>
    <row r="11">
      <c r="A11" s="4" t="inlineStr">
        <is>
          <t>DCF 估值 (WACC 12%, 永续增长 3%)</t>
        </is>
      </c>
      <c r="B11" s="23" t="inlineStr">
        <is>
          <t>35-40 亿</t>
        </is>
      </c>
      <c r="C11" s="4" t="inlineStr">
        <is>
          <t>基于基准场景现金流贴现</t>
        </is>
      </c>
    </row>
    <row r="12">
      <c r="A12" s="4" t="inlineStr">
        <is>
          <t>可比公司 P/S (Wind/同花顺/恒生)</t>
        </is>
      </c>
      <c r="B12" s="23" t="inlineStr">
        <is>
          <t>12-15x</t>
        </is>
      </c>
      <c r="C12" s="4" t="inlineStr">
        <is>
          <t>行业 2026 年中位数</t>
        </is>
      </c>
    </row>
    <row r="13">
      <c r="A13" s="4" t="inlineStr">
        <is>
          <t>可比公司 P/E (成熟期 30x)</t>
        </is>
      </c>
      <c r="B13" s="23" t="inlineStr">
        <is>
          <t>45-60 亿</t>
        </is>
      </c>
      <c r="C13" s="4" t="inlineStr">
        <is>
          <t>假设 2030 年净利 2 亿</t>
        </is>
      </c>
    </row>
    <row r="14">
      <c r="A14" s="4" t="inlineStr">
        <is>
          <t>风险溢价 (资管科技 β 1.3)</t>
        </is>
      </c>
      <c r="B14" s="23" t="inlineStr">
        <is>
          <t>+5-8%</t>
        </is>
      </c>
      <c r="C14" s="4" t="inlineStr">
        <is>
          <t>相对沪深 300 指数</t>
        </is>
      </c>
    </row>
    <row r="15">
      <c r="A15" s="4" t="inlineStr">
        <is>
          <t>综合估值区间</t>
        </is>
      </c>
      <c r="B15" s="23" t="inlineStr">
        <is>
          <t>30-50 亿</t>
        </is>
      </c>
      <c r="C15" s="4" t="inlineStr">
        <is>
          <t>第 5 年末合理估值</t>
        </is>
      </c>
    </row>
    <row r="17">
      <c r="A17" s="2">
        <f>= 期权池预留 ==</f>
        <v/>
      </c>
    </row>
    <row r="18">
      <c r="A18" s="4" t="inlineStr">
        <is>
          <t>Pre-A 后设立期权池 10% (从创始团队出)</t>
        </is>
      </c>
    </row>
    <row r="19">
      <c r="A19" s="4" t="inlineStr">
        <is>
          <t>B 轮后扩到 15%</t>
        </is>
      </c>
    </row>
    <row r="20">
      <c r="A20" s="4" t="inlineStr">
        <is>
          <t>IPO 前 20% (含 ESOP)</t>
        </is>
      </c>
    </row>
  </sheetData>
  <mergeCells count="6">
    <mergeCell ref="C11:H11"/>
    <mergeCell ref="C14:H14"/>
    <mergeCell ref="C13:H13"/>
    <mergeCell ref="A1:H1"/>
    <mergeCell ref="C12:H12"/>
    <mergeCell ref="C15:H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5 年团队规划 (资管科技子公司)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部门</t>
        </is>
      </c>
      <c r="B2" s="7" t="inlineStr">
        <is>
          <t>2026</t>
        </is>
      </c>
      <c r="C2" s="7" t="inlineStr">
        <is>
          <t>2027</t>
        </is>
      </c>
      <c r="D2" s="7" t="inlineStr">
        <is>
          <t>2028</t>
        </is>
      </c>
      <c r="E2" s="7" t="inlineStr">
        <is>
          <t>2029</t>
        </is>
      </c>
      <c r="F2" s="7" t="inlineStr">
        <is>
          <t>2030</t>
        </is>
      </c>
      <c r="G2" s="7" t="inlineStr">
        <is>
          <t>5 年新增</t>
        </is>
      </c>
      <c r="H2" s="7" t="inlineStr">
        <is>
          <t>人均成本 (万)</t>
        </is>
      </c>
    </row>
    <row r="3">
      <c r="A3" s="8" t="inlineStr">
        <is>
          <t>研发 (AI + 平台)</t>
        </is>
      </c>
      <c r="B3" s="14" t="n">
        <v>12</v>
      </c>
      <c r="C3" s="14" t="n">
        <v>25</v>
      </c>
      <c r="D3" s="14" t="n">
        <v>50</v>
      </c>
      <c r="E3" s="14" t="n">
        <v>80</v>
      </c>
      <c r="F3" s="14" t="n">
        <v>100</v>
      </c>
      <c r="G3" s="14" t="n">
        <v>88</v>
      </c>
      <c r="H3" s="14" t="n">
        <v>60</v>
      </c>
    </row>
    <row r="4">
      <c r="A4" s="8" t="inlineStr">
        <is>
          <t>数据 (采编 + ETL)</t>
        </is>
      </c>
      <c r="B4" s="14" t="n">
        <v>3</v>
      </c>
      <c r="C4" s="14" t="n">
        <v>8</v>
      </c>
      <c r="D4" s="14" t="n">
        <v>15</v>
      </c>
      <c r="E4" s="14" t="n">
        <v>25</v>
      </c>
      <c r="F4" s="14" t="n">
        <v>35</v>
      </c>
      <c r="G4" s="14" t="n">
        <v>32</v>
      </c>
      <c r="H4" s="14" t="n">
        <v>40</v>
      </c>
    </row>
    <row r="5">
      <c r="A5" s="8" t="inlineStr">
        <is>
          <t>销售 + BD</t>
        </is>
      </c>
      <c r="B5" s="14" t="n">
        <v>3</v>
      </c>
      <c r="C5" s="14" t="n">
        <v>10</v>
      </c>
      <c r="D5" s="14" t="n">
        <v>25</v>
      </c>
      <c r="E5" s="14" t="n">
        <v>50</v>
      </c>
      <c r="F5" s="14" t="n">
        <v>80</v>
      </c>
      <c r="G5" s="14" t="n">
        <v>77</v>
      </c>
      <c r="H5" s="14" t="n">
        <v>50</v>
      </c>
    </row>
    <row r="6">
      <c r="A6" s="8" t="inlineStr">
        <is>
          <t>客户成功</t>
        </is>
      </c>
      <c r="B6" s="14" t="n">
        <v>1</v>
      </c>
      <c r="C6" s="14" t="n">
        <v>4</v>
      </c>
      <c r="D6" s="14" t="n">
        <v>10</v>
      </c>
      <c r="E6" s="14" t="n">
        <v>20</v>
      </c>
      <c r="F6" s="14" t="n">
        <v>35</v>
      </c>
      <c r="G6" s="14" t="n">
        <v>34</v>
      </c>
      <c r="H6" s="14" t="n">
        <v>45</v>
      </c>
    </row>
    <row r="7">
      <c r="A7" s="8" t="inlineStr">
        <is>
          <t>市场 + 品牌</t>
        </is>
      </c>
      <c r="B7" s="14" t="n">
        <v>1</v>
      </c>
      <c r="C7" s="14" t="n">
        <v>3</v>
      </c>
      <c r="D7" s="14" t="n">
        <v>5</v>
      </c>
      <c r="E7" s="14" t="n">
        <v>10</v>
      </c>
      <c r="F7" s="14" t="n">
        <v>15</v>
      </c>
      <c r="G7" s="14" t="n">
        <v>14</v>
      </c>
      <c r="H7" s="14" t="n">
        <v>40</v>
      </c>
    </row>
    <row r="8">
      <c r="A8" s="8" t="inlineStr">
        <is>
          <t>管理 (财务/法务/HR)</t>
        </is>
      </c>
      <c r="B8" s="14" t="n">
        <v>2</v>
      </c>
      <c r="C8" s="14" t="n">
        <v>4</v>
      </c>
      <c r="D8" s="14" t="n">
        <v>8</v>
      </c>
      <c r="E8" s="14" t="n">
        <v>12</v>
      </c>
      <c r="F8" s="14" t="n">
        <v>15</v>
      </c>
      <c r="G8" s="14" t="n">
        <v>13</v>
      </c>
      <c r="H8" s="14" t="n">
        <v>50</v>
      </c>
    </row>
    <row r="9">
      <c r="A9" s="12" t="inlineStr">
        <is>
          <t>小计 (全公司)</t>
        </is>
      </c>
      <c r="B9" s="13" t="n">
        <v>22</v>
      </c>
      <c r="C9" s="13" t="n">
        <v>54</v>
      </c>
      <c r="D9" s="13" t="n">
        <v>113</v>
      </c>
      <c r="E9" s="13" t="n">
        <v>197</v>
      </c>
      <c r="F9" s="13" t="n">
        <v>280</v>
      </c>
      <c r="G9" s="13" t="n">
        <v>258</v>
      </c>
      <c r="H9" s="13" t="n">
        <v>53</v>
      </c>
    </row>
    <row r="10">
      <c r="A10" s="8" t="inlineStr">
        <is>
          <t>创始团队 (4 人, 冯亦根/薛永再/黄成选/冯思涵)</t>
        </is>
      </c>
      <c r="B10" s="14" t="n">
        <v>4</v>
      </c>
      <c r="C10" s="14" t="n">
        <v>4</v>
      </c>
      <c r="D10" s="14" t="n">
        <v>4</v>
      </c>
      <c r="E10" s="14" t="n">
        <v>4</v>
      </c>
      <c r="F10" s="14" t="n">
        <v>4</v>
      </c>
      <c r="G10" s="14" t="n">
        <v>0</v>
      </c>
      <c r="H10" s="14" t="n">
        <v>0</v>
      </c>
    </row>
    <row r="11">
      <c r="A11" s="24" t="inlineStr">
        <is>
          <t>合计</t>
        </is>
      </c>
      <c r="B11" s="19" t="n">
        <v>26</v>
      </c>
      <c r="C11" s="19" t="n">
        <v>58</v>
      </c>
      <c r="D11" s="19" t="n">
        <v>117</v>
      </c>
      <c r="E11" s="19" t="n">
        <v>201</v>
      </c>
      <c r="F11" s="19" t="n">
        <v>284</v>
      </c>
      <c r="G11" s="19" t="n">
        <v>258</v>
      </c>
      <c r="H11" s="19" t="n">
        <v>53</v>
      </c>
    </row>
    <row r="13">
      <c r="A13" s="2">
        <f>= 人均指标 (2030) ==</f>
        <v/>
      </c>
    </row>
    <row r="14">
      <c r="A14" s="4" t="inlineStr">
        <is>
          <t>单人创收</t>
        </is>
      </c>
      <c r="B14" s="2" t="inlineStr">
        <is>
          <t>280 万</t>
        </is>
      </c>
    </row>
    <row r="15">
      <c r="A15" s="4" t="inlineStr">
        <is>
          <t>单人毛利</t>
        </is>
      </c>
      <c r="B15" s="2" t="inlineStr">
        <is>
          <t>220 万</t>
        </is>
      </c>
    </row>
    <row r="16">
      <c r="A16" s="4" t="inlineStr">
        <is>
          <t>人均薪酬 (含五险一金)</t>
        </is>
      </c>
      <c r="B16" s="2" t="inlineStr">
        <is>
          <t>53 万</t>
        </is>
      </c>
    </row>
    <row r="17">
      <c r="A17" s="4" t="inlineStr">
        <is>
          <t>薪酬占毛利比</t>
        </is>
      </c>
      <c r="B17" s="25" t="inlineStr">
        <is>
          <t>24%</t>
        </is>
      </c>
    </row>
    <row r="19">
      <c r="A19" s="2">
        <f>= 招聘策略 ==</f>
        <v/>
      </c>
    </row>
    <row r="20">
      <c r="A20" s="4" t="inlineStr">
        <is>
          <t>校招 (清华/北大/上财/复旦/交大/浙大): 研发 80%, 销售 20%</t>
        </is>
      </c>
    </row>
    <row r="21">
      <c r="A21" s="4" t="inlineStr">
        <is>
          <t>社招 (3-5 年经验): Wind/同花顺/恒生电子/通联数据/嘉实/南方基金</t>
        </is>
      </c>
    </row>
    <row r="22">
      <c r="A22" s="4" t="inlineStr">
        <is>
          <t>海外 (QS Top 30): 算法/AI 工程师 5 人</t>
        </is>
      </c>
    </row>
    <row r="23">
      <c r="A23" s="4" t="inlineStr">
        <is>
          <t>推荐单位借调: 薛永再 6 个月 (合规 + 风控)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5 场景敏感性分析 (2030 年关键指标)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场景</t>
        </is>
      </c>
      <c r="B2" s="7" t="inlineStr">
        <is>
          <t>客户数</t>
        </is>
      </c>
      <c r="C2" s="7" t="inlineStr">
        <is>
          <t>ARPU (万)</t>
        </is>
      </c>
      <c r="D2" s="7" t="inlineStr">
        <is>
          <t>营收 (亿)</t>
        </is>
      </c>
      <c r="E2" s="7" t="inlineStr">
        <is>
          <t>净利率</t>
        </is>
      </c>
      <c r="F2" s="7" t="inlineStr">
        <is>
          <t>净利润 (亿)</t>
        </is>
      </c>
      <c r="G2" s="7" t="inlineStr">
        <is>
          <t>估值 (亿)</t>
        </is>
      </c>
      <c r="H2" s="7" t="inlineStr">
        <is>
          <t>IRR</t>
        </is>
      </c>
    </row>
    <row r="3">
      <c r="A3" s="8" t="inlineStr">
        <is>
          <t>极端熊市 (-50% 客户)</t>
        </is>
      </c>
      <c r="B3" s="14" t="n">
        <v>310</v>
      </c>
      <c r="C3" s="14" t="n">
        <v>75</v>
      </c>
      <c r="D3" s="14" t="n">
        <v>3.5</v>
      </c>
      <c r="E3" s="8" t="inlineStr">
        <is>
          <t>10%</t>
        </is>
      </c>
      <c r="F3" s="14" t="n">
        <v>0.35</v>
      </c>
      <c r="G3" s="14" t="n">
        <v>12</v>
      </c>
      <c r="H3" s="8" t="inlineStr">
        <is>
          <t>5%</t>
        </is>
      </c>
    </row>
    <row r="4">
      <c r="A4" s="8" t="inlineStr">
        <is>
          <t>保守 (基线 -30%)</t>
        </is>
      </c>
      <c r="B4" s="14" t="n">
        <v>434</v>
      </c>
      <c r="C4" s="14" t="n">
        <v>82</v>
      </c>
      <c r="D4" s="14" t="n">
        <v>5.5</v>
      </c>
      <c r="E4" s="8" t="inlineStr">
        <is>
          <t>15%</t>
        </is>
      </c>
      <c r="F4" s="14" t="n">
        <v>0.83</v>
      </c>
      <c r="G4" s="14" t="n">
        <v>22</v>
      </c>
      <c r="H4" s="8" t="inlineStr">
        <is>
          <t>15%</t>
        </is>
      </c>
    </row>
    <row r="5">
      <c r="A5" s="12" t="inlineStr">
        <is>
          <t>基准 (基线)</t>
        </is>
      </c>
      <c r="B5" s="13" t="n">
        <v>620</v>
      </c>
      <c r="C5" s="13" t="n">
        <v>90</v>
      </c>
      <c r="D5" s="13" t="n">
        <v>7.95</v>
      </c>
      <c r="E5" s="12" t="inlineStr">
        <is>
          <t>25%</t>
        </is>
      </c>
      <c r="F5" s="13" t="n">
        <v>1.98</v>
      </c>
      <c r="G5" s="13" t="n">
        <v>40</v>
      </c>
      <c r="H5" s="12" t="inlineStr">
        <is>
          <t>28%</t>
        </is>
      </c>
    </row>
    <row r="6">
      <c r="A6" s="8" t="inlineStr">
        <is>
          <t>乐观 (基线 +30%)</t>
        </is>
      </c>
      <c r="B6" s="14" t="n">
        <v>806</v>
      </c>
      <c r="C6" s="14" t="n">
        <v>95</v>
      </c>
      <c r="D6" s="14" t="n">
        <v>10.3</v>
      </c>
      <c r="E6" s="8" t="inlineStr">
        <is>
          <t>30%</t>
        </is>
      </c>
      <c r="F6" s="14" t="n">
        <v>3.09</v>
      </c>
      <c r="G6" s="14" t="n">
        <v>60</v>
      </c>
      <c r="H6" s="8" t="inlineStr">
        <is>
          <t>38%</t>
        </is>
      </c>
    </row>
    <row r="7">
      <c r="A7" s="8" t="inlineStr">
        <is>
          <t>极端牛市 (基线 +60%)</t>
        </is>
      </c>
      <c r="B7" s="14" t="n">
        <v>992</v>
      </c>
      <c r="C7" s="14" t="n">
        <v>100</v>
      </c>
      <c r="D7" s="14" t="n">
        <v>12.7</v>
      </c>
      <c r="E7" s="8" t="inlineStr">
        <is>
          <t>33%</t>
        </is>
      </c>
      <c r="F7" s="14" t="n">
        <v>4.19</v>
      </c>
      <c r="G7" s="14" t="n">
        <v>85</v>
      </c>
      <c r="H7" s="8" t="inlineStr">
        <is>
          <t>45%</t>
        </is>
      </c>
    </row>
    <row r="9">
      <c r="A9" s="2">
        <f>= 关键假设 ==</f>
        <v/>
      </c>
    </row>
    <row r="10">
      <c r="A10" s="4" t="inlineStr">
        <is>
          <t>基准: 客户数 CAGR 113%, ARPU 12%</t>
        </is>
      </c>
    </row>
    <row r="11">
      <c r="A11" s="4" t="inlineStr">
        <is>
          <t>极端熊市: 客户获取下降 50%, 单价 -20%, 团队 -30%</t>
        </is>
      </c>
    </row>
    <row r="12">
      <c r="A12" s="4" t="inlineStr">
        <is>
          <t>极端牛市: 大客户中标率 +30%, 单价 +20%, 销售人效 +30%</t>
        </is>
      </c>
    </row>
    <row r="14">
      <c r="A14" s="2">
        <f>= 概率加权期望 ==</f>
        <v/>
      </c>
    </row>
    <row r="15">
      <c r="A15" s="4" t="inlineStr">
        <is>
          <t>概率分布 (基准/乐观/保守/极端) = 50%/25%/20%/5%</t>
        </is>
      </c>
    </row>
    <row r="16">
      <c r="A16" s="2" t="inlineStr">
        <is>
          <t>期望 IRR = 50%*28% + 25%*38% + 20%*15% + 5%*5% = 27%</t>
        </is>
      </c>
    </row>
    <row r="17">
      <c r="A17" s="2" t="inlineStr">
        <is>
          <t>期望估值 = 50%*40 + 25%*60 + 20%*22 + 5%*12 = 39.9 亿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5 年里程碑节点 (12/24/36/48/60 月)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月数</t>
        </is>
      </c>
      <c r="B2" s="7" t="inlineStr">
        <is>
          <t>里程碑</t>
        </is>
      </c>
      <c r="C2" s="7" t="inlineStr">
        <is>
          <t>客户数</t>
        </is>
      </c>
      <c r="D2" s="7" t="inlineStr">
        <is>
          <t>团队</t>
        </is>
      </c>
      <c r="E2" s="7" t="inlineStr">
        <is>
          <t>营收 (年化)</t>
        </is>
      </c>
      <c r="F2" s="7" t="inlineStr">
        <is>
          <t>估值</t>
        </is>
      </c>
      <c r="G2" s="7" t="inlineStr">
        <is>
          <t>融资轮次</t>
        </is>
      </c>
      <c r="H2" s="7" t="inlineStr">
        <is>
          <t>关键事件</t>
        </is>
      </c>
    </row>
    <row r="3">
      <c r="A3" s="8" t="inlineStr">
        <is>
          <t>6</t>
        </is>
      </c>
      <c r="B3" s="8" t="inlineStr">
        <is>
          <t>MVP + 5 客户上线</t>
        </is>
      </c>
      <c r="C3" s="14" t="n">
        <v>5</v>
      </c>
      <c r="D3" s="14" t="n">
        <v>26</v>
      </c>
      <c r="E3" s="8" t="inlineStr">
        <is>
          <t>1000 万</t>
        </is>
      </c>
      <c r="F3" s="8" t="inlineStr">
        <is>
          <t>5 亿</t>
        </is>
      </c>
      <c r="G3" s="8" t="inlineStr">
        <is>
          <t>天使 500 万</t>
        </is>
      </c>
      <c r="H3" s="8" t="inlineStr">
        <is>
          <t>立项/团队组建</t>
        </is>
      </c>
    </row>
    <row r="4">
      <c r="A4" s="8" t="inlineStr">
        <is>
          <t>12</t>
        </is>
      </c>
      <c r="B4" s="8" t="inlineStr">
        <is>
          <t>产品 2.0 + 30 客户</t>
        </is>
      </c>
      <c r="C4" s="14" t="n">
        <v>30</v>
      </c>
      <c r="D4" s="14" t="n">
        <v>40</v>
      </c>
      <c r="E4" s="8" t="inlineStr">
        <is>
          <t>2000 万</t>
        </is>
      </c>
      <c r="F4" s="8" t="inlineStr">
        <is>
          <t>3 亿</t>
        </is>
      </c>
      <c r="G4" s="8" t="inlineStr">
        <is>
          <t>Pre-A 3000 万</t>
        </is>
      </c>
      <c r="H4" s="8" t="inlineStr">
        <is>
          <t>A 轮准备</t>
        </is>
      </c>
    </row>
    <row r="5">
      <c r="A5" s="9" t="inlineStr">
        <is>
          <t>24</t>
        </is>
      </c>
      <c r="B5" s="9" t="inlineStr">
        <is>
          <t>100 客户 + 销售团队成型</t>
        </is>
      </c>
      <c r="C5" s="17" t="n">
        <v>100</v>
      </c>
      <c r="D5" s="17" t="n">
        <v>80</v>
      </c>
      <c r="E5" s="9" t="inlineStr">
        <is>
          <t>7300 万</t>
        </is>
      </c>
      <c r="F5" s="9" t="inlineStr">
        <is>
          <t>8 亿</t>
        </is>
      </c>
      <c r="G5" s="9" t="inlineStr">
        <is>
          <t>A 轮 1 亿</t>
        </is>
      </c>
      <c r="H5" s="9" t="inlineStr">
        <is>
          <t>客户成功团队建立</t>
        </is>
      </c>
    </row>
    <row r="6">
      <c r="A6" s="8" t="inlineStr">
        <is>
          <t>36</t>
        </is>
      </c>
      <c r="B6" s="8" t="inlineStr">
        <is>
          <t>200 客户 + 行业 Top 3</t>
        </is>
      </c>
      <c r="C6" s="14" t="n">
        <v>200</v>
      </c>
      <c r="D6" s="14" t="n">
        <v>130</v>
      </c>
      <c r="E6" s="8" t="inlineStr">
        <is>
          <t>2.0 亿</t>
        </is>
      </c>
      <c r="F6" s="8" t="inlineStr">
        <is>
          <t>20 亿</t>
        </is>
      </c>
      <c r="G6" s="8" t="inlineStr">
        <is>
          <t>B 轮 3 亿</t>
        </is>
      </c>
      <c r="H6" s="8" t="inlineStr">
        <is>
          <t>海外 5 家 + 学术合作 3 家</t>
        </is>
      </c>
    </row>
    <row r="7">
      <c r="A7" s="8" t="inlineStr">
        <is>
          <t>48</t>
        </is>
      </c>
      <c r="B7" s="8" t="inlineStr">
        <is>
          <t>400 客户 + 技术壁垒</t>
        </is>
      </c>
      <c r="C7" s="14" t="n">
        <v>400</v>
      </c>
      <c r="D7" s="14" t="n">
        <v>200</v>
      </c>
      <c r="E7" s="8" t="inlineStr">
        <is>
          <t>4.3 亿</t>
        </is>
      </c>
      <c r="F7" s="8" t="inlineStr">
        <is>
          <t>35 亿</t>
        </is>
      </c>
      <c r="G7" s="8" t="inlineStr">
        <is>
          <t>Pre-IPO 准备</t>
        </is>
      </c>
      <c r="H7" s="8" t="inlineStr">
        <is>
          <t>申请专精特新 + 数据合规认证</t>
        </is>
      </c>
    </row>
    <row r="8">
      <c r="A8" s="9" t="inlineStr">
        <is>
          <t>60</t>
        </is>
      </c>
      <c r="B8" s="9" t="inlineStr">
        <is>
          <t>600+ 客户 + 行业龙头</t>
        </is>
      </c>
      <c r="C8" s="17" t="n">
        <v>620</v>
      </c>
      <c r="D8" s="17" t="n">
        <v>280</v>
      </c>
      <c r="E8" s="9" t="inlineStr">
        <is>
          <t>8.0 亿</t>
        </is>
      </c>
      <c r="F8" s="9" t="inlineStr">
        <is>
          <t>40-50 亿</t>
        </is>
      </c>
      <c r="G8" s="9" t="inlineStr">
        <is>
          <t>拟 IPO</t>
        </is>
      </c>
      <c r="H8" s="9" t="inlineStr">
        <is>
          <t>启动 IPO 申报 (科创板/北交所)</t>
        </is>
      </c>
    </row>
    <row r="11">
      <c r="A11" s="2">
        <f>= 关键 KPI 追踪 (董事会月报) ==</f>
        <v/>
      </c>
    </row>
    <row r="12">
      <c r="A12" s="2" t="inlineStr">
        <is>
          <t>KPI 1</t>
        </is>
      </c>
      <c r="B12" s="4" t="inlineStr">
        <is>
          <t>MRR (月度经常性收入) + ARR (年度经常性收入)</t>
        </is>
      </c>
    </row>
    <row r="13">
      <c r="A13" s="2" t="inlineStr">
        <is>
          <t>KPI 2</t>
        </is>
      </c>
      <c r="B13" s="4" t="inlineStr">
        <is>
          <t>NRR (净收入留存) &gt; 110%</t>
        </is>
      </c>
    </row>
    <row r="14">
      <c r="A14" s="2" t="inlineStr">
        <is>
          <t>KPI 3</t>
        </is>
      </c>
      <c r="B14" s="4" t="inlineStr">
        <is>
          <t>CAC 回收期 &lt; 12 个月</t>
        </is>
      </c>
    </row>
    <row r="15">
      <c r="A15" s="2" t="inlineStr">
        <is>
          <t>KPI 4</t>
        </is>
      </c>
      <c r="B15" s="4" t="inlineStr">
        <is>
          <t>客户健康度 (CSAT) &gt; 4.5/5</t>
        </is>
      </c>
    </row>
    <row r="16">
      <c r="A16" s="2" t="inlineStr">
        <is>
          <t>KPI 5</t>
        </is>
      </c>
      <c r="B16" s="4" t="inlineStr">
        <is>
          <t>产品 NPS &gt; 50</t>
        </is>
      </c>
    </row>
    <row r="17">
      <c r="A17" s="2" t="inlineStr">
        <is>
          <t>KPI 6</t>
        </is>
      </c>
      <c r="B17" s="4" t="inlineStr">
        <is>
          <t>核心模型准确率 (回测 Sharpe) &gt; 1.0</t>
        </is>
      </c>
    </row>
    <row r="18">
      <c r="A18" s="2" t="inlineStr">
        <is>
          <t>KPI 7</t>
        </is>
      </c>
      <c r="B18" s="4" t="inlineStr">
        <is>
          <t>员工 NPS &gt; 40 (eNPS)</t>
        </is>
      </c>
    </row>
    <row r="19">
      <c r="A19" s="2" t="inlineStr">
        <is>
          <t>KPI 8</t>
        </is>
      </c>
      <c r="B19" s="4" t="inlineStr">
        <is>
          <t>现金流跑正 (基准场景 2027 Q4)</t>
        </is>
      </c>
    </row>
    <row r="20">
      <c r="A20" s="2" t="inlineStr">
        <is>
          <t>KPI 9</t>
        </is>
      </c>
      <c r="B20" s="4" t="inlineStr">
        <is>
          <t>合规审计 (年度)</t>
        </is>
      </c>
    </row>
    <row r="21">
      <c r="A21" s="2" t="inlineStr">
        <is>
          <t>KPI 10</t>
        </is>
      </c>
      <c r="B21" s="4" t="inlineStr">
        <is>
          <t>数据安全事件 0 起</t>
        </is>
      </c>
    </row>
  </sheetData>
  <mergeCells count="11">
    <mergeCell ref="B14:H14"/>
    <mergeCell ref="B17:H17"/>
    <mergeCell ref="B18:H18"/>
    <mergeCell ref="B13:H13"/>
    <mergeCell ref="B21:H21"/>
    <mergeCell ref="B12:H12"/>
    <mergeCell ref="B16:H16"/>
    <mergeCell ref="B15:H15"/>
    <mergeCell ref="A1:H1"/>
    <mergeCell ref="B19:H19"/>
    <mergeCell ref="B20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5 年现金流 + 资产负债表 (基准场景)</t>
        </is>
      </c>
      <c r="B1" s="6" t="n"/>
      <c r="C1" s="6" t="n"/>
      <c r="D1" s="6" t="n"/>
      <c r="E1" s="6" t="n"/>
      <c r="F1" s="6" t="n"/>
      <c r="G1" s="6" t="n"/>
    </row>
    <row r="2">
      <c r="A2" s="7" t="inlineStr">
        <is>
          <t>项目</t>
        </is>
      </c>
      <c r="B2" s="7" t="inlineStr">
        <is>
          <t>2026</t>
        </is>
      </c>
      <c r="C2" s="7" t="inlineStr">
        <is>
          <t>2027</t>
        </is>
      </c>
      <c r="D2" s="7" t="inlineStr">
        <is>
          <t>2028</t>
        </is>
      </c>
      <c r="E2" s="7" t="inlineStr">
        <is>
          <t>2029</t>
        </is>
      </c>
      <c r="F2" s="7" t="inlineStr">
        <is>
          <t>2030</t>
        </is>
      </c>
      <c r="G2" s="7" t="inlineStr">
        <is>
          <t>5 年合计</t>
        </is>
      </c>
    </row>
    <row r="3">
      <c r="A3" s="10">
        <f>= 现金流量表 (万) ==</f>
        <v/>
      </c>
    </row>
    <row r="4">
      <c r="A4" s="12" t="inlineStr">
        <is>
          <t>经营活动现金流</t>
        </is>
      </c>
      <c r="B4" s="13" t="n">
        <v>-1840</v>
      </c>
      <c r="C4" s="13" t="n">
        <v>-800</v>
      </c>
      <c r="D4" s="13" t="n">
        <v>2925</v>
      </c>
      <c r="E4" s="13" t="n">
        <v>9310</v>
      </c>
      <c r="F4" s="13" t="n">
        <v>19800</v>
      </c>
      <c r="G4" s="13" t="n">
        <v>29395</v>
      </c>
    </row>
    <row r="5">
      <c r="A5" s="8" t="inlineStr">
        <is>
          <t>折旧摊销</t>
        </is>
      </c>
      <c r="B5" s="14" t="n">
        <v>80</v>
      </c>
      <c r="C5" s="14" t="n">
        <v>120</v>
      </c>
      <c r="D5" s="14" t="n">
        <v>200</v>
      </c>
      <c r="E5" s="14" t="n">
        <v>300</v>
      </c>
      <c r="F5" s="14" t="n">
        <v>450</v>
      </c>
      <c r="G5" s="14" t="n">
        <v>1150</v>
      </c>
    </row>
    <row r="6">
      <c r="A6" s="8" t="inlineStr">
        <is>
          <t>营运资本变化</t>
        </is>
      </c>
      <c r="B6" s="14" t="n">
        <v>-200</v>
      </c>
      <c r="C6" s="14" t="n">
        <v>-500</v>
      </c>
      <c r="D6" s="14" t="n">
        <v>-1000</v>
      </c>
      <c r="E6" s="14" t="n">
        <v>-2000</v>
      </c>
      <c r="F6" s="14" t="n">
        <v>-3500</v>
      </c>
      <c r="G6" s="14" t="n">
        <v>-7200</v>
      </c>
    </row>
    <row r="7">
      <c r="A7" s="12" t="inlineStr">
        <is>
          <t>OCF 合计</t>
        </is>
      </c>
      <c r="B7" s="13" t="n">
        <v>-1960</v>
      </c>
      <c r="C7" s="13" t="n">
        <v>-1180</v>
      </c>
      <c r="D7" s="13" t="n">
        <v>2125</v>
      </c>
      <c r="E7" s="13" t="n">
        <v>7610</v>
      </c>
      <c r="F7" s="13" t="n">
        <v>16750</v>
      </c>
      <c r="G7" s="13" t="n">
        <v>23345</v>
      </c>
    </row>
    <row r="8">
      <c r="A8" s="4" t="inlineStr"/>
    </row>
    <row r="9">
      <c r="A9" s="8" t="inlineStr">
        <is>
          <t>资本支出 (设备/系统)</t>
        </is>
      </c>
      <c r="B9" s="14" t="n">
        <v>-100</v>
      </c>
      <c r="C9" s="14" t="n">
        <v>-200</v>
      </c>
      <c r="D9" s="14" t="n">
        <v>-400</v>
      </c>
      <c r="E9" s="14" t="n">
        <v>-600</v>
      </c>
      <c r="F9" s="14" t="n">
        <v>-1000</v>
      </c>
      <c r="G9" s="14" t="n">
        <v>-2300</v>
      </c>
    </row>
    <row r="10">
      <c r="A10" s="12" t="inlineStr">
        <is>
          <t>ICF 合计</t>
        </is>
      </c>
      <c r="B10" s="13" t="n">
        <v>-100</v>
      </c>
      <c r="C10" s="13" t="n">
        <v>-200</v>
      </c>
      <c r="D10" s="13" t="n">
        <v>-400</v>
      </c>
      <c r="E10" s="13" t="n">
        <v>-600</v>
      </c>
      <c r="F10" s="13" t="n">
        <v>-1000</v>
      </c>
      <c r="G10" s="13" t="n">
        <v>-2300</v>
      </c>
    </row>
    <row r="11">
      <c r="A11" s="4" t="inlineStr"/>
    </row>
    <row r="12">
      <c r="A12" s="8" t="inlineStr">
        <is>
          <t>股权融资</t>
        </is>
      </c>
      <c r="B12" s="14" t="n">
        <v>500</v>
      </c>
      <c r="C12" s="14" t="n">
        <v>3000</v>
      </c>
      <c r="D12" s="14" t="n">
        <v>10000</v>
      </c>
      <c r="E12" s="14" t="n">
        <v>30000</v>
      </c>
      <c r="F12" s="14" t="n">
        <v>0</v>
      </c>
      <c r="G12" s="14" t="n">
        <v>43500</v>
      </c>
    </row>
    <row r="13">
      <c r="A13" s="8" t="inlineStr">
        <is>
          <t>债务融资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</row>
    <row r="14">
      <c r="A14" s="8" t="inlineStr">
        <is>
          <t>分红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</row>
    <row r="15">
      <c r="A15" s="12" t="inlineStr">
        <is>
          <t>FCF 合计</t>
        </is>
      </c>
      <c r="B15" s="13" t="n">
        <v>500</v>
      </c>
      <c r="C15" s="13" t="n">
        <v>3000</v>
      </c>
      <c r="D15" s="13" t="n">
        <v>10000</v>
      </c>
      <c r="E15" s="13" t="n">
        <v>30000</v>
      </c>
      <c r="F15" s="13" t="n">
        <v>0</v>
      </c>
      <c r="G15" s="13" t="n">
        <v>43500</v>
      </c>
    </row>
    <row r="16">
      <c r="A16" s="4" t="inlineStr"/>
    </row>
    <row r="17">
      <c r="A17" s="12" t="inlineStr">
        <is>
          <t>现金净变动</t>
        </is>
      </c>
      <c r="B17" s="13" t="n">
        <v>-1560</v>
      </c>
      <c r="C17" s="13" t="n">
        <v>1620</v>
      </c>
      <c r="D17" s="13" t="n">
        <v>11725</v>
      </c>
      <c r="E17" s="13" t="n">
        <v>37010</v>
      </c>
      <c r="F17" s="13" t="n">
        <v>15750</v>
      </c>
      <c r="G17" s="13" t="n">
        <v>64545</v>
      </c>
    </row>
    <row r="18">
      <c r="A18" s="12" t="inlineStr">
        <is>
          <t>期初现金</t>
        </is>
      </c>
      <c r="B18" s="13" t="n">
        <v>0</v>
      </c>
      <c r="C18" s="13" t="n">
        <v>-1560</v>
      </c>
      <c r="D18" s="13" t="n">
        <v>60</v>
      </c>
      <c r="E18" s="13" t="n">
        <v>11785</v>
      </c>
      <c r="F18" s="13" t="n">
        <v>48795</v>
      </c>
      <c r="G18" s="13" t="n">
        <v>0</v>
      </c>
    </row>
    <row r="19">
      <c r="A19" s="12" t="inlineStr">
        <is>
          <t>期末现金</t>
        </is>
      </c>
      <c r="B19" s="13" t="n">
        <v>-1560</v>
      </c>
      <c r="C19" s="13" t="n">
        <v>60</v>
      </c>
      <c r="D19" s="13" t="n">
        <v>11785</v>
      </c>
      <c r="E19" s="13" t="n">
        <v>48795</v>
      </c>
      <c r="F19" s="13" t="n">
        <v>64545</v>
      </c>
      <c r="G19" s="13" t="n">
        <v>64545</v>
      </c>
    </row>
    <row r="22">
      <c r="A22" s="10">
        <f>= 资产负债表 (万, 年末) ==</f>
        <v/>
      </c>
    </row>
    <row r="23">
      <c r="A23" s="8" t="inlineStr">
        <is>
          <t>货币资金</t>
        </is>
      </c>
      <c r="B23" s="14" t="n">
        <v>-1560</v>
      </c>
      <c r="C23" s="14" t="n">
        <v>60</v>
      </c>
      <c r="D23" s="14" t="n">
        <v>11785</v>
      </c>
      <c r="E23" s="14" t="n">
        <v>48795</v>
      </c>
      <c r="F23" s="14" t="n">
        <v>64545</v>
      </c>
    </row>
    <row r="24">
      <c r="A24" s="8" t="inlineStr">
        <is>
          <t>应收账款</t>
        </is>
      </c>
      <c r="B24" s="14" t="n">
        <v>200</v>
      </c>
      <c r="C24" s="14" t="n">
        <v>800</v>
      </c>
      <c r="D24" s="14" t="n">
        <v>2200</v>
      </c>
      <c r="E24" s="14" t="n">
        <v>5000</v>
      </c>
      <c r="F24" s="14" t="n">
        <v>9500</v>
      </c>
    </row>
    <row r="25">
      <c r="A25" s="8" t="inlineStr">
        <is>
          <t>预付账款</t>
        </is>
      </c>
      <c r="B25" s="14" t="n">
        <v>30</v>
      </c>
      <c r="C25" s="14" t="n">
        <v>80</v>
      </c>
      <c r="D25" s="14" t="n">
        <v>200</v>
      </c>
      <c r="E25" s="14" t="n">
        <v>400</v>
      </c>
      <c r="F25" s="14" t="n">
        <v>800</v>
      </c>
    </row>
    <row r="26">
      <c r="A26" s="12" t="inlineStr">
        <is>
          <t>流动资产合计</t>
        </is>
      </c>
      <c r="B26" s="13" t="n">
        <v>-1330</v>
      </c>
      <c r="C26" s="13" t="n">
        <v>940</v>
      </c>
      <c r="D26" s="13" t="n">
        <v>14185</v>
      </c>
      <c r="E26" s="13" t="n">
        <v>54195</v>
      </c>
      <c r="F26" s="13" t="n">
        <v>74845</v>
      </c>
    </row>
    <row r="27">
      <c r="A27" s="8" t="inlineStr">
        <is>
          <t>固定资产</t>
        </is>
      </c>
      <c r="B27" s="14" t="n">
        <v>100</v>
      </c>
      <c r="C27" s="14" t="n">
        <v>200</v>
      </c>
      <c r="D27" s="14" t="n">
        <v>400</v>
      </c>
      <c r="E27" s="14" t="n">
        <v>700</v>
      </c>
      <c r="F27" s="14" t="n">
        <v>1200</v>
      </c>
    </row>
    <row r="28">
      <c r="A28" s="8" t="inlineStr">
        <is>
          <t>无形资产 (软件 + 数据)</t>
        </is>
      </c>
      <c r="B28" s="14" t="n">
        <v>200</v>
      </c>
      <c r="C28" s="14" t="n">
        <v>500</v>
      </c>
      <c r="D28" s="14" t="n">
        <v>1000</v>
      </c>
      <c r="E28" s="14" t="n">
        <v>1800</v>
      </c>
      <c r="F28" s="14" t="n">
        <v>3000</v>
      </c>
    </row>
    <row r="29">
      <c r="A29" s="12" t="inlineStr">
        <is>
          <t>资产合计</t>
        </is>
      </c>
      <c r="B29" s="13" t="n">
        <v>-1030</v>
      </c>
      <c r="C29" s="13" t="n">
        <v>1640</v>
      </c>
      <c r="D29" s="13" t="n">
        <v>15585</v>
      </c>
      <c r="E29" s="13" t="n">
        <v>56695</v>
      </c>
      <c r="F29" s="13" t="n">
        <v>79045</v>
      </c>
    </row>
    <row r="30">
      <c r="A30" s="4" t="inlineStr"/>
    </row>
    <row r="31">
      <c r="A31" s="8" t="inlineStr">
        <is>
          <t>应付账款</t>
        </is>
      </c>
      <c r="B31" s="14" t="n">
        <v>100</v>
      </c>
      <c r="C31" s="14" t="n">
        <v>300</v>
      </c>
      <c r="D31" s="14" t="n">
        <v>700</v>
      </c>
      <c r="E31" s="14" t="n">
        <v>1500</v>
      </c>
      <c r="F31" s="14" t="n">
        <v>3000</v>
      </c>
    </row>
    <row r="32">
      <c r="A32" s="8" t="inlineStr">
        <is>
          <t>应付薪酬</t>
        </is>
      </c>
      <c r="B32" s="14" t="n">
        <v>300</v>
      </c>
      <c r="C32" s="14" t="n">
        <v>700</v>
      </c>
      <c r="D32" s="14" t="n">
        <v>1500</v>
      </c>
      <c r="E32" s="14" t="n">
        <v>3000</v>
      </c>
      <c r="F32" s="14" t="n">
        <v>5500</v>
      </c>
    </row>
    <row r="33">
      <c r="A33" s="8" t="inlineStr">
        <is>
          <t>合同负债 (预收款)</t>
        </is>
      </c>
      <c r="B33" s="14" t="n">
        <v>150</v>
      </c>
      <c r="C33" s="14" t="n">
        <v>600</v>
      </c>
      <c r="D33" s="14" t="n">
        <v>1800</v>
      </c>
      <c r="E33" s="14" t="n">
        <v>4000</v>
      </c>
      <c r="F33" s="14" t="n">
        <v>8000</v>
      </c>
    </row>
    <row r="34">
      <c r="A34" s="12" t="inlineStr">
        <is>
          <t>流动负债合计</t>
        </is>
      </c>
      <c r="B34" s="13" t="n">
        <v>550</v>
      </c>
      <c r="C34" s="13" t="n">
        <v>1600</v>
      </c>
      <c r="D34" s="13" t="n">
        <v>4000</v>
      </c>
      <c r="E34" s="13" t="n">
        <v>8500</v>
      </c>
      <c r="F34" s="13" t="n">
        <v>16500</v>
      </c>
    </row>
    <row r="35">
      <c r="A35" s="12" t="inlineStr">
        <is>
          <t>股东权益</t>
        </is>
      </c>
      <c r="B35" s="13" t="n">
        <v>-1580</v>
      </c>
      <c r="C35" s="13" t="n">
        <v>40</v>
      </c>
      <c r="D35" s="13" t="n">
        <v>11585</v>
      </c>
      <c r="E35" s="13" t="n">
        <v>48195</v>
      </c>
      <c r="F35" s="13" t="n">
        <v>62545</v>
      </c>
    </row>
    <row r="36">
      <c r="A36" s="12" t="inlineStr">
        <is>
          <t>负债 + 权益</t>
        </is>
      </c>
      <c r="B36" s="13" t="n">
        <v>-1030</v>
      </c>
      <c r="C36" s="13" t="n">
        <v>1640</v>
      </c>
      <c r="D36" s="13" t="n">
        <v>15585</v>
      </c>
      <c r="E36" s="13" t="n">
        <v>56695</v>
      </c>
      <c r="F36" s="13" t="n">
        <v>79045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风险情景与压力测试</t>
        </is>
      </c>
      <c r="B1" s="6" t="n"/>
      <c r="C1" s="6" t="n"/>
      <c r="D1" s="6" t="n"/>
      <c r="E1" s="6" t="n"/>
      <c r="F1" s="6" t="n"/>
      <c r="G1" s="6" t="n"/>
    </row>
    <row r="2">
      <c r="A2" s="7" t="inlineStr">
        <is>
          <t>风险类型</t>
        </is>
      </c>
      <c r="B2" s="7" t="inlineStr">
        <is>
          <t>发生概率</t>
        </is>
      </c>
      <c r="C2" s="7" t="inlineStr">
        <is>
          <t>对营收影响</t>
        </is>
      </c>
      <c r="D2" s="7" t="inlineStr">
        <is>
          <t>对估值影响</t>
        </is>
      </c>
      <c r="E2" s="7" t="inlineStr">
        <is>
          <t>对 IRR 影响</t>
        </is>
      </c>
      <c r="F2" s="7" t="inlineStr">
        <is>
          <t>应对措施</t>
        </is>
      </c>
      <c r="G2" s="7" t="inlineStr">
        <is>
          <t>责任人</t>
        </is>
      </c>
    </row>
    <row r="3">
      <c r="A3" s="8" t="inlineStr">
        <is>
          <t>AI 技术迭代滞后</t>
        </is>
      </c>
      <c r="B3" s="9" t="inlineStr">
        <is>
          <t>20%</t>
        </is>
      </c>
      <c r="C3" s="9" t="inlineStr">
        <is>
          <t>-15%</t>
        </is>
      </c>
      <c r="D3" s="9" t="inlineStr">
        <is>
          <t>-25%</t>
        </is>
      </c>
      <c r="E3" s="9" t="inlineStr">
        <is>
          <t>-8pp</t>
        </is>
      </c>
      <c r="F3" s="9" t="inlineStr">
        <is>
          <t>持续 R&amp;D 投入 (15% 营收); 与 DeepSeek/Qwen 合作</t>
        </is>
      </c>
      <c r="G3" s="9" t="inlineStr">
        <is>
          <t>黄成选</t>
        </is>
      </c>
    </row>
    <row r="4">
      <c r="A4" s="8" t="inlineStr">
        <is>
          <t>大客户流失</t>
        </is>
      </c>
      <c r="B4" s="8" t="inlineStr">
        <is>
          <t>15%</t>
        </is>
      </c>
      <c r="C4" s="8" t="inlineStr">
        <is>
          <t>-10%</t>
        </is>
      </c>
      <c r="D4" s="8" t="inlineStr">
        <is>
          <t>-15%</t>
        </is>
      </c>
      <c r="E4" s="8" t="inlineStr">
        <is>
          <t>-5pp</t>
        </is>
      </c>
      <c r="F4" s="8" t="inlineStr">
        <is>
          <t>客户成功团队扩 2x; 签 3 年长约; 定制化粘性</t>
        </is>
      </c>
      <c r="G4" s="8" t="inlineStr">
        <is>
          <t>冯思涵</t>
        </is>
      </c>
    </row>
    <row r="5">
      <c r="A5" s="8" t="inlineStr">
        <is>
          <t>监管收紧 (数据/AI)</t>
        </is>
      </c>
      <c r="B5" s="8" t="inlineStr">
        <is>
          <t>30%</t>
        </is>
      </c>
      <c r="C5" s="8" t="inlineStr">
        <is>
          <t>-8%</t>
        </is>
      </c>
      <c r="D5" s="8" t="inlineStr">
        <is>
          <t>-12%</t>
        </is>
      </c>
      <c r="E5" s="8" t="inlineStr">
        <is>
          <t>-3pp</t>
        </is>
      </c>
      <c r="F5" s="8" t="inlineStr">
        <is>
          <t>提前 6 月预研; 参与行业协会; 法务 + 合规双保险</t>
        </is>
      </c>
      <c r="G5" s="8" t="inlineStr">
        <is>
          <t>黄成选</t>
        </is>
      </c>
    </row>
    <row r="6">
      <c r="A6" s="8" t="inlineStr">
        <is>
          <t>融资环境恶化</t>
        </is>
      </c>
      <c r="B6" s="8" t="inlineStr">
        <is>
          <t>25%</t>
        </is>
      </c>
      <c r="C6" s="8" t="inlineStr">
        <is>
          <t>0 (短期)</t>
        </is>
      </c>
      <c r="D6" s="8" t="inlineStr">
        <is>
          <t>-30%</t>
        </is>
      </c>
      <c r="E6" s="8" t="inlineStr">
        <is>
          <t>-5pp</t>
        </is>
      </c>
      <c r="F6" s="8" t="inlineStr">
        <is>
          <t>保持 18 月现金跑道; 拓展产业资本/政府引导基金</t>
        </is>
      </c>
      <c r="G6" s="8" t="inlineStr">
        <is>
          <t>薛永再</t>
        </is>
      </c>
    </row>
    <row r="7">
      <c r="A7" s="8" t="inlineStr">
        <is>
          <t>核心团队流失</t>
        </is>
      </c>
      <c r="B7" s="8" t="inlineStr">
        <is>
          <t>15%</t>
        </is>
      </c>
      <c r="C7" s="8" t="inlineStr">
        <is>
          <t>-5%</t>
        </is>
      </c>
      <c r="D7" s="8" t="inlineStr">
        <is>
          <t>-10%</t>
        </is>
      </c>
      <c r="E7" s="8" t="inlineStr">
        <is>
          <t>-4pp</t>
        </is>
      </c>
      <c r="F7" s="8" t="inlineStr">
        <is>
          <t>期权池 15%; 关键人 4 年 vesting + 竞业</t>
        </is>
      </c>
      <c r="G7" s="8" t="inlineStr">
        <is>
          <t>冯亦根</t>
        </is>
      </c>
    </row>
    <row r="8">
      <c r="A8" s="8" t="inlineStr">
        <is>
          <t>竞品价格战 (Wind 等)</t>
        </is>
      </c>
      <c r="B8" s="9" t="inlineStr">
        <is>
          <t>40%</t>
        </is>
      </c>
      <c r="C8" s="9" t="inlineStr">
        <is>
          <t>-20%</t>
        </is>
      </c>
      <c r="D8" s="9" t="inlineStr">
        <is>
          <t>-20%</t>
        </is>
      </c>
      <c r="E8" s="9" t="inlineStr">
        <is>
          <t>-6pp</t>
        </is>
      </c>
      <c r="F8" s="9" t="inlineStr">
        <is>
          <t>差异化定位 (中小私募 + AI); 成本领先 30%</t>
        </is>
      </c>
      <c r="G8" s="9" t="inlineStr">
        <is>
          <t>冯亦根</t>
        </is>
      </c>
    </row>
    <row r="9">
      <c r="A9" s="8" t="inlineStr">
        <is>
          <t>数据源断供</t>
        </is>
      </c>
      <c r="B9" s="8" t="inlineStr">
        <is>
          <t>10%</t>
        </is>
      </c>
      <c r="C9" s="8" t="inlineStr">
        <is>
          <t>-25%</t>
        </is>
      </c>
      <c r="D9" s="8" t="inlineStr">
        <is>
          <t>-30%</t>
        </is>
      </c>
      <c r="E9" s="8" t="inlineStr">
        <is>
          <t>-12pp</t>
        </is>
      </c>
      <c r="F9" s="8" t="inlineStr">
        <is>
          <t>多源备份 (Wind/akshare/聚源/通联); 自建爬虫</t>
        </is>
      </c>
      <c r="G9" s="8" t="inlineStr">
        <is>
          <t>黄成选</t>
        </is>
      </c>
    </row>
    <row r="10">
      <c r="A10" s="8" t="inlineStr">
        <is>
          <t>宏观经济衰退</t>
        </is>
      </c>
      <c r="B10" s="8" t="inlineStr">
        <is>
          <t>25%</t>
        </is>
      </c>
      <c r="C10" s="8" t="inlineStr">
        <is>
          <t>-15%</t>
        </is>
      </c>
      <c r="D10" s="8" t="inlineStr">
        <is>
          <t>-25%</t>
        </is>
      </c>
      <c r="E10" s="8" t="inlineStr">
        <is>
          <t>-7pp</t>
        </is>
      </c>
      <c r="F10" s="8" t="inlineStr">
        <is>
          <t>客户分群分散 (9 类); 银行/保险抗周期</t>
        </is>
      </c>
      <c r="G10" s="8" t="inlineStr">
        <is>
          <t>冯亦根</t>
        </is>
      </c>
    </row>
    <row r="12">
      <c r="A12" s="2">
        <f>= 压力测试 (2030 年关键指标) ==</f>
        <v/>
      </c>
    </row>
    <row r="13">
      <c r="A13" s="4" t="inlineStr">
        <is>
          <t>轻度压力 (-1 个风险)</t>
        </is>
      </c>
      <c r="B13" s="2" t="inlineStr">
        <is>
          <t>客户 590, 净利 1.6 亿, 估值 32 亿, IRR 23%</t>
        </is>
      </c>
    </row>
    <row r="14">
      <c r="A14" s="4" t="inlineStr">
        <is>
          <t>中度压力 (-2 个风险)</t>
        </is>
      </c>
      <c r="B14" s="2" t="inlineStr">
        <is>
          <t>客户 530, 净利 1.2 亿, 估值 24 亿, IRR 17%</t>
        </is>
      </c>
    </row>
    <row r="15">
      <c r="A15" s="4" t="inlineStr">
        <is>
          <t>重度压力 (-3 个风险)</t>
        </is>
      </c>
      <c r="B15" s="2" t="inlineStr">
        <is>
          <t>客户 450, 净利 0.8 亿, 估值 16 亿, IRR 10%</t>
        </is>
      </c>
    </row>
    <row r="16">
      <c r="A16" s="4" t="inlineStr">
        <is>
          <t>极重压力 (-4+ 个风险)</t>
        </is>
      </c>
      <c r="B16" s="2" t="inlineStr">
        <is>
          <t>客户 350, 净利 0.3 亿, 估值 9 亿, IRR 3%</t>
        </is>
      </c>
    </row>
  </sheetData>
  <mergeCells count="5">
    <mergeCell ref="B16:G16"/>
    <mergeCell ref="A1:G1"/>
    <mergeCell ref="B14:G14"/>
    <mergeCell ref="B13:G13"/>
    <mergeCell ref="B15:G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核心指标 vs 业内基准 (资管科技 SaaS 同业)</t>
        </is>
      </c>
      <c r="B1" s="6" t="n"/>
      <c r="C1" s="6" t="n"/>
      <c r="D1" s="6" t="n"/>
      <c r="E1" s="6" t="n"/>
      <c r="F1" s="6" t="n"/>
      <c r="G1" s="6" t="n"/>
    </row>
    <row r="2">
      <c r="A2" s="7" t="inlineStr">
        <is>
          <t>指标</t>
        </is>
      </c>
      <c r="B2" s="7" t="inlineStr">
        <is>
          <t>QuantInsight Pro</t>
        </is>
      </c>
      <c r="C2" s="7" t="inlineStr">
        <is>
          <t>Wind (万得)</t>
        </is>
      </c>
      <c r="D2" s="7" t="inlineStr">
        <is>
          <t>同花顺 iFinD</t>
        </is>
      </c>
      <c r="E2" s="7" t="inlineStr">
        <is>
          <t>恒生电子</t>
        </is>
      </c>
      <c r="F2" s="7" t="inlineStr">
        <is>
          <t>通联数据</t>
        </is>
      </c>
      <c r="G2" s="7" t="inlineStr">
        <is>
          <t>结论</t>
        </is>
      </c>
    </row>
    <row r="3">
      <c r="A3" s="8" t="inlineStr">
        <is>
          <t>目标客户</t>
        </is>
      </c>
      <c r="B3" s="8" t="inlineStr">
        <is>
          <t>中小私募+银行/券商/保险/信托</t>
        </is>
      </c>
      <c r="C3" s="8" t="inlineStr">
        <is>
          <t>机构为主</t>
        </is>
      </c>
      <c r="D3" s="8" t="inlineStr">
        <is>
          <t>机构 + 散户</t>
        </is>
      </c>
      <c r="E3" s="8" t="inlineStr">
        <is>
          <t>金融机构</t>
        </is>
      </c>
      <c r="F3" s="8" t="inlineStr">
        <is>
          <t>机构 + 个人</t>
        </is>
      </c>
      <c r="G3" s="8" t="inlineStr">
        <is>
          <t>差异化定位</t>
        </is>
      </c>
    </row>
    <row r="4">
      <c r="A4" s="26" t="inlineStr">
        <is>
          <t>ARPU (万/家/年)</t>
        </is>
      </c>
      <c r="B4" s="27" t="n">
        <v>79</v>
      </c>
      <c r="C4" s="26" t="inlineStr">
        <is>
          <t>80-300</t>
        </is>
      </c>
      <c r="D4" s="26" t="inlineStr">
        <is>
          <t>50-150</t>
        </is>
      </c>
      <c r="E4" s="26" t="inlineStr">
        <is>
          <t>100-500</t>
        </is>
      </c>
      <c r="F4" s="26" t="inlineStr">
        <is>
          <t>20-100</t>
        </is>
      </c>
      <c r="G4" s="26" t="inlineStr">
        <is>
          <t>中位偏上</t>
        </is>
      </c>
    </row>
    <row r="5">
      <c r="A5" s="8" t="inlineStr">
        <is>
          <t>客户数 (累计)</t>
        </is>
      </c>
      <c r="B5" s="14" t="n">
        <v>620</v>
      </c>
      <c r="C5" s="8" t="inlineStr">
        <is>
          <t>5000+</t>
        </is>
      </c>
      <c r="D5" s="8" t="inlineStr">
        <is>
          <t>10000+</t>
        </is>
      </c>
      <c r="E5" s="8" t="inlineStr">
        <is>
          <t>800+</t>
        </is>
      </c>
      <c r="F5" s="8" t="inlineStr">
        <is>
          <t>2000+</t>
        </is>
      </c>
      <c r="G5" s="8" t="inlineStr">
        <is>
          <t>聚焦高质量</t>
        </is>
      </c>
    </row>
    <row r="6">
      <c r="A6" s="26" t="inlineStr">
        <is>
          <t>毛利率 (成熟期)</t>
        </is>
      </c>
      <c r="B6" s="26" t="inlineStr">
        <is>
          <t>75%</t>
        </is>
      </c>
      <c r="C6" s="26" t="inlineStr">
        <is>
          <t>85%+</t>
        </is>
      </c>
      <c r="D6" s="26" t="inlineStr">
        <is>
          <t>70%</t>
        </is>
      </c>
      <c r="E6" s="26" t="inlineStr">
        <is>
          <t>60%</t>
        </is>
      </c>
      <c r="F6" s="26" t="inlineStr">
        <is>
          <t>60%</t>
        </is>
      </c>
      <c r="G6" s="26" t="inlineStr">
        <is>
          <t>软件主导</t>
        </is>
      </c>
    </row>
    <row r="7">
      <c r="A7" s="8" t="inlineStr">
        <is>
          <t>净利率 (成熟期)</t>
        </is>
      </c>
      <c r="B7" s="8" t="inlineStr">
        <is>
          <t>25%</t>
        </is>
      </c>
      <c r="C7" s="8" t="inlineStr">
        <is>
          <t>35%</t>
        </is>
      </c>
      <c r="D7" s="8" t="inlineStr">
        <is>
          <t>25%</t>
        </is>
      </c>
      <c r="E7" s="8" t="inlineStr">
        <is>
          <t>18%</t>
        </is>
      </c>
      <c r="F7" s="8" t="inlineStr">
        <is>
          <t>12%</t>
        </is>
      </c>
      <c r="G7" s="8" t="inlineStr">
        <is>
          <t>健康</t>
        </is>
      </c>
    </row>
    <row r="8">
      <c r="A8" s="26" t="inlineStr">
        <is>
          <t>CAC (万)</t>
        </is>
      </c>
      <c r="B8" s="27" t="n">
        <v>8</v>
      </c>
      <c r="C8" s="27" t="n">
        <v>30</v>
      </c>
      <c r="D8" s="27" t="n">
        <v>15</v>
      </c>
      <c r="E8" s="27" t="n">
        <v>40</v>
      </c>
      <c r="F8" s="27" t="n">
        <v>10</v>
      </c>
      <c r="G8" s="26" t="inlineStr">
        <is>
          <t>极低</t>
        </is>
      </c>
    </row>
    <row r="9">
      <c r="A9" s="8" t="inlineStr">
        <is>
          <t>LTV (万)</t>
        </is>
      </c>
      <c r="B9" s="14" t="n">
        <v>320</v>
      </c>
      <c r="C9" s="14" t="n">
        <v>800</v>
      </c>
      <c r="D9" s="14" t="n">
        <v>300</v>
      </c>
      <c r="E9" s="14" t="n">
        <v>1200</v>
      </c>
      <c r="F9" s="14" t="n">
        <v>200</v>
      </c>
      <c r="G9" s="8" t="inlineStr">
        <is>
          <t>中等</t>
        </is>
      </c>
    </row>
    <row r="10">
      <c r="A10" s="26" t="inlineStr">
        <is>
          <t>续约率</t>
        </is>
      </c>
      <c r="B10" s="26" t="inlineStr">
        <is>
          <t>92%</t>
        </is>
      </c>
      <c r="C10" s="26" t="inlineStr">
        <is>
          <t>95%</t>
        </is>
      </c>
      <c r="D10" s="26" t="inlineStr">
        <is>
          <t>85%</t>
        </is>
      </c>
      <c r="E10" s="26" t="inlineStr">
        <is>
          <t>90%</t>
        </is>
      </c>
      <c r="F10" s="26" t="inlineStr">
        <is>
          <t>80%</t>
        </is>
      </c>
      <c r="G10" s="26" t="inlineStr">
        <is>
          <t>高于平均</t>
        </is>
      </c>
    </row>
    <row r="11">
      <c r="A11" s="8" t="inlineStr">
        <is>
          <t>研发占营收 (稳态)</t>
        </is>
      </c>
      <c r="B11" s="8" t="inlineStr">
        <is>
          <t>15%</t>
        </is>
      </c>
      <c r="C11" s="8" t="inlineStr">
        <is>
          <t>12%</t>
        </is>
      </c>
      <c r="D11" s="8" t="inlineStr">
        <is>
          <t>8%</t>
        </is>
      </c>
      <c r="E11" s="8" t="inlineStr">
        <is>
          <t>20%</t>
        </is>
      </c>
      <c r="F11" s="8" t="inlineStr">
        <is>
          <t>25%</t>
        </is>
      </c>
      <c r="G11" s="8" t="inlineStr">
        <is>
          <t>保持高研发</t>
        </is>
      </c>
    </row>
    <row r="12">
      <c r="A12" s="26" t="inlineStr">
        <is>
          <t>销售占营收 (稳态)</t>
        </is>
      </c>
      <c r="B12" s="26" t="inlineStr">
        <is>
          <t>23%</t>
        </is>
      </c>
      <c r="C12" s="26" t="inlineStr">
        <is>
          <t>20%</t>
        </is>
      </c>
      <c r="D12" s="26" t="inlineStr">
        <is>
          <t>18%</t>
        </is>
      </c>
      <c r="E12" s="26" t="inlineStr">
        <is>
          <t>15%</t>
        </is>
      </c>
      <c r="F12" s="26" t="inlineStr">
        <is>
          <t>30%</t>
        </is>
      </c>
      <c r="G12" s="26" t="inlineStr">
        <is>
          <t>匹配 B 轮</t>
        </is>
      </c>
    </row>
    <row r="13">
      <c r="A13" s="8" t="inlineStr">
        <is>
          <t>团队 (2030)</t>
        </is>
      </c>
      <c r="B13" s="14" t="n">
        <v>280</v>
      </c>
      <c r="C13" s="8" t="inlineStr">
        <is>
          <t>3000+</t>
        </is>
      </c>
      <c r="D13" s="8" t="inlineStr">
        <is>
          <t>1500+</t>
        </is>
      </c>
      <c r="E13" s="8" t="inlineStr">
        <is>
          <t>8000+</t>
        </is>
      </c>
      <c r="F13" s="8" t="inlineStr">
        <is>
          <t>500+</t>
        </is>
      </c>
      <c r="G13" s="8" t="inlineStr">
        <is>
          <t>轻资产</t>
        </is>
      </c>
    </row>
    <row r="14">
      <c r="A14" s="26" t="inlineStr">
        <is>
          <t>人均创收 (万)</t>
        </is>
      </c>
      <c r="B14" s="27" t="n">
        <v>280</v>
      </c>
      <c r="C14" s="27" t="n">
        <v>200</v>
      </c>
      <c r="D14" s="27" t="n">
        <v>180</v>
      </c>
      <c r="E14" s="27" t="n">
        <v>150</v>
      </c>
      <c r="F14" s="27" t="n">
        <v>150</v>
      </c>
      <c r="G14" s="26" t="inlineStr">
        <is>
          <t>人效领先</t>
        </is>
      </c>
    </row>
    <row r="15">
      <c r="A15" s="8" t="inlineStr">
        <is>
          <t>5 年累计融资 (亿)</t>
        </is>
      </c>
      <c r="B15" s="14" t="n">
        <v>4.35</v>
      </c>
      <c r="C15" s="8" t="inlineStr">
        <is>
          <t>已上市</t>
        </is>
      </c>
      <c r="D15" s="8" t="inlineStr">
        <is>
          <t>已上市</t>
        </is>
      </c>
      <c r="E15" s="8" t="inlineStr">
        <is>
          <t>已上市</t>
        </is>
      </c>
      <c r="F15" s="8" t="inlineStr">
        <is>
          <t>已上市</t>
        </is>
      </c>
      <c r="G15" s="8" t="inlineStr">
        <is>
          <t>合理 B 轮</t>
        </is>
      </c>
    </row>
    <row r="16">
      <c r="A16" s="26" t="inlineStr">
        <is>
          <t>5 年末估值 (亿)</t>
        </is>
      </c>
      <c r="B16" s="27" t="n">
        <v>40</v>
      </c>
      <c r="C16" s="26" t="inlineStr">
        <is>
          <t>600+</t>
        </is>
      </c>
      <c r="D16" s="26" t="inlineStr">
        <is>
          <t>1500+</t>
        </is>
      </c>
      <c r="E16" s="26" t="inlineStr">
        <is>
          <t>500+</t>
        </is>
      </c>
      <c r="F16" s="26" t="inlineStr">
        <is>
          <t>100+</t>
        </is>
      </c>
      <c r="G16" s="26" t="inlineStr">
        <is>
          <t>有上行空间</t>
        </is>
      </c>
    </row>
    <row r="19">
      <c r="A19" s="2">
        <f>= 差异化优势 (vs 业内基准) ==</f>
        <v/>
      </c>
    </row>
    <row r="20">
      <c r="A20" s="4" t="inlineStr">
        <is>
          <t>1. AI 投研智能体 (业内 90% 不具备)</t>
        </is>
      </c>
    </row>
    <row r="21">
      <c r="A21" s="4" t="inlineStr">
        <is>
          <t>2. 中小私募聚焦 (被 Wind/同花顺 忽视的蓝海, 5000+ 家)</t>
        </is>
      </c>
    </row>
    <row r="22">
      <c r="A22" s="4" t="inlineStr">
        <is>
          <t>3. 多数据源融合 (5 类: 财报/公告/新闻/产业链/舆情)</t>
        </is>
      </c>
    </row>
    <row r="23">
      <c r="A23" s="4" t="inlineStr">
        <is>
          <t>4. 私募合规 (避免大厂合规壁垒)</t>
        </is>
      </c>
    </row>
    <row r="24">
      <c r="A24" s="4" t="inlineStr">
        <is>
          <t>5. 学术合作背书 (清华/北大/上财, 监管沙盒)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一页纸财务摘要 (Pitch Sheet, 评委用)</t>
        </is>
      </c>
      <c r="B1" s="6" t="n"/>
      <c r="C1" s="6" t="n"/>
      <c r="D1" s="6" t="n"/>
      <c r="E1" s="6" t="n"/>
      <c r="F1" s="6" t="n"/>
      <c r="G1" s="6" t="n"/>
    </row>
    <row r="2">
      <c r="A2" s="18">
        <f>= 关键数字 (2030 目标) ==</f>
        <v/>
      </c>
    </row>
    <row r="3">
      <c r="A3" s="4" t="inlineStr">
        <is>
          <t>客户数</t>
        </is>
      </c>
      <c r="B3" s="28" t="inlineStr">
        <is>
          <t>620 家</t>
        </is>
      </c>
    </row>
    <row r="4">
      <c r="A4" s="4" t="inlineStr">
        <is>
          <t>客户分群</t>
        </is>
      </c>
      <c r="B4" s="28" t="inlineStr">
        <is>
          <t>9 类 (中小私募 + 银行/券商/保险/信托/公募/高校/IR/战略)</t>
        </is>
      </c>
    </row>
    <row r="5">
      <c r="A5" s="4" t="inlineStr">
        <is>
          <t>团队</t>
        </is>
      </c>
      <c r="B5" s="28" t="inlineStr">
        <is>
          <t>280 人</t>
        </is>
      </c>
    </row>
    <row r="6">
      <c r="A6" s="4" t="inlineStr">
        <is>
          <t>年营收</t>
        </is>
      </c>
      <c r="B6" s="28" t="inlineStr">
        <is>
          <t>7.95 亿</t>
        </is>
      </c>
    </row>
    <row r="7">
      <c r="A7" s="4" t="inlineStr">
        <is>
          <t>净利润</t>
        </is>
      </c>
      <c r="B7" s="28" t="inlineStr">
        <is>
          <t>1.98 亿</t>
        </is>
      </c>
    </row>
    <row r="8">
      <c r="A8" s="4" t="inlineStr">
        <is>
          <t>净利率</t>
        </is>
      </c>
      <c r="B8" s="28" t="inlineStr">
        <is>
          <t>25%</t>
        </is>
      </c>
    </row>
    <row r="9">
      <c r="A9" s="4" t="inlineStr">
        <is>
          <t>估值 (P/S 5x)</t>
        </is>
      </c>
      <c r="B9" s="28" t="inlineStr">
        <is>
          <t>40 亿</t>
        </is>
      </c>
    </row>
    <row r="10">
      <c r="A10" s="4" t="inlineStr">
        <is>
          <t>IRR (5 年)</t>
        </is>
      </c>
      <c r="B10" s="28" t="inlineStr">
        <is>
          <t>28%</t>
        </is>
      </c>
    </row>
    <row r="11">
      <c r="A11" s="4" t="inlineStr">
        <is>
          <t>累计融资</t>
        </is>
      </c>
      <c r="B11" s="28" t="inlineStr">
        <is>
          <t>4.35 亿</t>
        </is>
      </c>
    </row>
    <row r="12">
      <c r="A12" s="4" t="inlineStr">
        <is>
          <t>回收期</t>
        </is>
      </c>
      <c r="B12" s="28" t="inlineStr">
        <is>
          <t>5 年</t>
        </is>
      </c>
    </row>
    <row r="13">
      <c r="A13" s="4" t="inlineStr"/>
    </row>
    <row r="14">
      <c r="A14" s="18">
        <f>= 5 年里程碑 ==</f>
        <v/>
      </c>
    </row>
    <row r="15">
      <c r="A15" s="4" t="inlineStr">
        <is>
          <t>12 月: 30 客户 + Pre-A 3000 万</t>
        </is>
      </c>
      <c r="B15" s="28" t="inlineStr">
        <is>
          <t>估值 3 亿</t>
        </is>
      </c>
    </row>
    <row r="16">
      <c r="A16" s="4" t="inlineStr">
        <is>
          <t>24 月: 100 客户 + A 轮 1 亿</t>
        </is>
      </c>
      <c r="B16" s="28" t="inlineStr">
        <is>
          <t>估值 8 亿</t>
        </is>
      </c>
    </row>
    <row r="17">
      <c r="A17" s="4" t="inlineStr">
        <is>
          <t>36 月: 200 客户 + B 轮 3 亿</t>
        </is>
      </c>
      <c r="B17" s="28" t="inlineStr">
        <is>
          <t>估值 20 亿</t>
        </is>
      </c>
    </row>
    <row r="18">
      <c r="A18" s="4" t="inlineStr">
        <is>
          <t>48 月: 400 客户 + Pre-IPO 准备</t>
        </is>
      </c>
      <c r="B18" s="28" t="inlineStr">
        <is>
          <t>估值 35 亿</t>
        </is>
      </c>
    </row>
    <row r="19">
      <c r="A19" s="4" t="inlineStr">
        <is>
          <t>60 月: 620 客户 + 拟 IPO</t>
        </is>
      </c>
      <c r="B19" s="28" t="inlineStr">
        <is>
          <t>估值 40-50 亿</t>
        </is>
      </c>
    </row>
    <row r="20">
      <c r="A20" s="4" t="inlineStr"/>
    </row>
    <row r="21">
      <c r="A21" s="18">
        <f>= 单位经济金标准 ==</f>
        <v/>
      </c>
    </row>
    <row r="22">
      <c r="A22" s="4" t="inlineStr">
        <is>
          <t>LTV / CAC = 40 (&gt;&gt;&gt; 3 健康)</t>
        </is>
      </c>
      <c r="B22" s="28" t="inlineStr">
        <is>
          <t>回收期 5 月 (远低于 18 月)</t>
        </is>
      </c>
    </row>
    <row r="23">
      <c r="A23" s="4" t="inlineStr">
        <is>
          <t>续约率 92%, NRR 120%</t>
        </is>
      </c>
      <c r="B23" s="28" t="inlineStr">
        <is>
          <t>行业 Top 20%</t>
        </is>
      </c>
    </row>
    <row r="24">
      <c r="A24" s="4" t="inlineStr"/>
    </row>
    <row r="25">
      <c r="A25" s="18">
        <f>= 风险与应对 ==</f>
        <v/>
      </c>
    </row>
    <row r="26">
      <c r="A26" s="4" t="inlineStr">
        <is>
          <t>AI 滞后 (-15% 营收) → 持续 15% R&amp;D</t>
        </is>
      </c>
      <c r="B26" s="28" t="inlineStr">
        <is>
          <t>✓</t>
        </is>
      </c>
    </row>
    <row r="27">
      <c r="A27" s="4" t="inlineStr">
        <is>
          <t>大客户流失 (-10%) → 客户成功 2x + 3 年长约</t>
        </is>
      </c>
      <c r="B27" s="28" t="inlineStr">
        <is>
          <t>✓</t>
        </is>
      </c>
    </row>
    <row r="28">
      <c r="A28" s="4" t="inlineStr">
        <is>
          <t>监管收紧 (-8%) → 法务 + 合规双保险 + 行业参与</t>
        </is>
      </c>
      <c r="B28" s="28" t="inlineStr">
        <is>
          <t>✓</t>
        </is>
      </c>
    </row>
    <row r="29">
      <c r="A29" s="4" t="inlineStr">
        <is>
          <t>融资恶化 (-5pp IRR) → 18 月现金 + 多元融资</t>
        </is>
      </c>
      <c r="B29" s="28" t="inlineStr">
        <is>
          <t>✓</t>
        </is>
      </c>
    </row>
    <row r="30">
      <c r="A30" s="4" t="inlineStr"/>
    </row>
    <row r="31">
      <c r="A31" s="18">
        <f>= 评委核心关注 ==</f>
        <v/>
      </c>
    </row>
    <row r="32">
      <c r="A32" s="4" t="inlineStr">
        <is>
          <t>盈利能力: 净利率 25% 行业 Top 20%</t>
        </is>
      </c>
      <c r="B32" s="28" t="inlineStr">
        <is>
          <t>✓</t>
        </is>
      </c>
    </row>
    <row r="33">
      <c r="A33" s="4" t="inlineStr">
        <is>
          <t>增长持续性: 5 年 CAGR 147%, 客户分群 9 类</t>
        </is>
      </c>
      <c r="B33" s="28" t="inlineStr">
        <is>
          <t>✓</t>
        </is>
      </c>
    </row>
    <row r="34">
      <c r="A34" s="4" t="inlineStr">
        <is>
          <t>现金流: 2027 Q4 跑正, 不依赖持续融资</t>
        </is>
      </c>
      <c r="B34" s="28" t="inlineStr">
        <is>
          <t>✓</t>
        </is>
      </c>
    </row>
    <row r="35">
      <c r="A35" s="4" t="inlineStr">
        <is>
          <t>估值合理性: 40 亿 5x P/S, DCF/可比/风险溢价 三角验证</t>
        </is>
      </c>
      <c r="B35" s="28" t="inlineStr">
        <is>
          <t>✓</t>
        </is>
      </c>
    </row>
    <row r="36">
      <c r="A36" s="4" t="inlineStr">
        <is>
          <t>退出路径: 科创板/北交所, 60 月启动 IPO</t>
        </is>
      </c>
      <c r="B36" s="28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2026-06-05T22:42:14Z</dcterms:created>
  <dcterms:modified xmlns:dcterms="http://purl.org/dc/terms/" xmlns:xsi="http://www.w3.org/2001/XMLSchema-instance" xsi:type="dcterms:W3CDTF">2026-06-05T22:42:14Z</dcterms:modified>
</cp:coreProperties>
</file>